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l®Core™Ultra5\PycharmProjects\nextjs-dashboard\"/>
    </mc:Choice>
  </mc:AlternateContent>
  <xr:revisionPtr revIDLastSave="0" documentId="13_ncr:1_{C9926363-0DE1-4C36-91EE-E286A9D13EBA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20251222" sheetId="103" r:id="rId1"/>
  </sheets>
  <definedNames>
    <definedName name="기준일">#REF!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<sst xmlns="http://schemas.openxmlformats.org/spreadsheetml/2006/main" count="118" uniqueCount="99">
  <si>
    <t>USD</t>
  </si>
  <si>
    <t>$ KCMT10-3</t>
  </si>
  <si>
    <t>KRW</t>
  </si>
  <si>
    <t>KCMT10-3</t>
  </si>
  <si>
    <t>UCMS30-2</t>
  </si>
  <si>
    <t>별도관리 대상(tobe restruc)</t>
  </si>
  <si>
    <t>MTM</t>
    <phoneticPr fontId="2" type="noConversion"/>
  </si>
  <si>
    <t>SP150(10y, 2.32%+10*Avg(CD-KTB), Cap 5.50% 0.00% Floor) STR Rcv</t>
  </si>
  <si>
    <t>SP169(10y, 3.35%+10Avg(CD-KTB), Cap 6.10%, -14.28% Floor) STR Rcv</t>
  </si>
  <si>
    <t>SP438(9.9%*n/N, n : KCMT10Y- KCMT3Y &gt;= 0.00% &amp; USD SOFR CMS 10Y &lt;= 5.2% Rcv</t>
  </si>
  <si>
    <t>SP440(10.25%*n/N n: KCMT10Y-KCMT3Y&gt;=0% &amp; USD CMS 10Y &lt;= 5.2% Rcv</t>
  </si>
  <si>
    <t>CD-KTB Power</t>
  </si>
  <si>
    <t>CD-KTB R.A</t>
  </si>
  <si>
    <t>IRS1Y - CCS1Y</t>
  </si>
  <si>
    <t>KCMS10-2</t>
  </si>
  <si>
    <t>MAR</t>
  </si>
  <si>
    <t>데이터 출처</t>
    <phoneticPr fontId="2" type="noConversion"/>
  </si>
  <si>
    <t>기준일</t>
  </si>
  <si>
    <t>원화 잔고(억)</t>
  </si>
  <si>
    <t>외화 잔고(억)</t>
  </si>
  <si>
    <t>금리변동</t>
    <phoneticPr fontId="2" type="noConversion"/>
  </si>
  <si>
    <t>전체잔고</t>
    <phoneticPr fontId="2" type="noConversion"/>
  </si>
  <si>
    <t>CD 3M</t>
    <phoneticPr fontId="2" type="noConversion"/>
  </si>
  <si>
    <t>이전 기준일 캐리</t>
    <phoneticPr fontId="2" type="noConversion"/>
  </si>
  <si>
    <t>daily 캐리</t>
    <phoneticPr fontId="2" type="noConversion"/>
  </si>
  <si>
    <t>SOFR 1Day</t>
    <phoneticPr fontId="2" type="noConversion"/>
  </si>
  <si>
    <t>캐리</t>
    <phoneticPr fontId="2" type="noConversion"/>
  </si>
  <si>
    <t>원화</t>
    <phoneticPr fontId="2" type="noConversion"/>
  </si>
  <si>
    <t>KCMT 10Y</t>
    <phoneticPr fontId="2" type="noConversion"/>
  </si>
  <si>
    <t>달러</t>
    <phoneticPr fontId="2" type="noConversion"/>
  </si>
  <si>
    <t>KCMT 3Y</t>
    <phoneticPr fontId="2" type="noConversion"/>
  </si>
  <si>
    <t>펀딩 민감도</t>
    <phoneticPr fontId="2" type="noConversion"/>
  </si>
  <si>
    <t>UCMS10Y</t>
    <phoneticPr fontId="2" type="noConversion"/>
  </si>
  <si>
    <t>UCMS2Y</t>
    <phoneticPr fontId="2" type="noConversion"/>
  </si>
  <si>
    <t>캐리미인식 set</t>
    <phoneticPr fontId="2" type="noConversion"/>
  </si>
  <si>
    <t>캐리인식 set</t>
    <phoneticPr fontId="2" type="noConversion"/>
  </si>
  <si>
    <t>daily PnL</t>
    <phoneticPr fontId="2" type="noConversion"/>
  </si>
  <si>
    <t>Carry로 들어온 PnL</t>
    <phoneticPr fontId="2" type="noConversion"/>
  </si>
  <si>
    <t>캐리인식 set PnL</t>
    <phoneticPr fontId="2" type="noConversion"/>
  </si>
  <si>
    <t>캐리미인식 set PnL</t>
    <phoneticPr fontId="2" type="noConversion"/>
  </si>
  <si>
    <t>$ Zero-Coupon</t>
  </si>
  <si>
    <t>$ UCMS/T10 R.A</t>
  </si>
  <si>
    <t>(Won) Zero-Coupon</t>
  </si>
  <si>
    <t>I220119FE003</t>
  </si>
  <si>
    <t>CS-&gt;GS</t>
  </si>
  <si>
    <t>도이치</t>
  </si>
  <si>
    <t>자산 스왑기준
조기종료 고확률 노출액면</t>
    <phoneticPr fontId="2" type="noConversion"/>
  </si>
  <si>
    <t>I241224FE001</t>
  </si>
  <si>
    <t>JPM</t>
  </si>
  <si>
    <t>I241217FE001</t>
  </si>
  <si>
    <t>I250109FE002</t>
  </si>
  <si>
    <t>SP454(rcv : 10.05%*n/N, Where n : UCMS 10y &lt;= 5.20%</t>
  </si>
  <si>
    <t>I220511FE002</t>
  </si>
  <si>
    <t>Gapping BTB Monitoring Daily Panel</t>
    <phoneticPr fontId="2" type="noConversion"/>
  </si>
  <si>
    <t>Wink</t>
    <phoneticPr fontId="2" type="noConversion"/>
  </si>
  <si>
    <t>운용잔고 및 캐리</t>
    <phoneticPr fontId="2" type="noConversion"/>
  </si>
  <si>
    <t>이전 기준일</t>
    <phoneticPr fontId="2" type="noConversion"/>
  </si>
  <si>
    <t>전일비</t>
    <phoneticPr fontId="2" type="noConversion"/>
  </si>
  <si>
    <t>이전 기준일대비</t>
    <phoneticPr fontId="2" type="noConversion"/>
  </si>
  <si>
    <t>KCMS 10Y</t>
    <phoneticPr fontId="2" type="noConversion"/>
  </si>
  <si>
    <t>KCMS 3Y</t>
    <phoneticPr fontId="2" type="noConversion"/>
  </si>
  <si>
    <t>PnL Attribution</t>
    <phoneticPr fontId="2" type="noConversion"/>
  </si>
  <si>
    <t>fx 손익변동</t>
    <phoneticPr fontId="2" type="noConversion"/>
  </si>
  <si>
    <t>조기 종료 위험</t>
    <phoneticPr fontId="2" type="noConversion"/>
  </si>
  <si>
    <t>조기종료 고위험 
노출 잔고</t>
    <phoneticPr fontId="2" type="noConversion"/>
  </si>
  <si>
    <t>top3 고위험 종목</t>
    <phoneticPr fontId="2" type="noConversion"/>
  </si>
  <si>
    <t>종목코드</t>
    <phoneticPr fontId="2" type="noConversion"/>
  </si>
  <si>
    <t>거래상대방</t>
    <phoneticPr fontId="2" type="noConversion"/>
  </si>
  <si>
    <t>call date</t>
    <phoneticPr fontId="2" type="noConversion"/>
  </si>
  <si>
    <t>액면</t>
    <phoneticPr fontId="2" type="noConversion"/>
  </si>
  <si>
    <t>통화</t>
    <phoneticPr fontId="2" type="noConversion"/>
  </si>
  <si>
    <t>Value@Call</t>
    <phoneticPr fontId="2" type="noConversion"/>
  </si>
  <si>
    <t>상품 스펙</t>
    <phoneticPr fontId="2" type="noConversion"/>
  </si>
  <si>
    <t>조기 종료시 PnL 
Chg</t>
    <phoneticPr fontId="2" type="noConversion"/>
  </si>
  <si>
    <t>원화</t>
    <phoneticPr fontId="2" type="noConversion"/>
  </si>
  <si>
    <t>외화</t>
    <phoneticPr fontId="2" type="noConversion"/>
  </si>
  <si>
    <t>sum</t>
    <phoneticPr fontId="2" type="noConversion"/>
  </si>
  <si>
    <t>20억 ~ 30억</t>
    <phoneticPr fontId="2" type="noConversion"/>
  </si>
  <si>
    <t>10억 ~ 20억</t>
    <phoneticPr fontId="2" type="noConversion"/>
  </si>
  <si>
    <t>0 ~ 10억</t>
    <phoneticPr fontId="2" type="noConversion"/>
  </si>
  <si>
    <t>-10억~ 0</t>
    <phoneticPr fontId="2" type="noConversion"/>
  </si>
  <si>
    <t>-20억 ~ -10억</t>
    <phoneticPr fontId="2" type="noConversion"/>
  </si>
  <si>
    <t>-20억 이하</t>
    <phoneticPr fontId="2" type="noConversion"/>
  </si>
  <si>
    <t>top3 고확률 종목</t>
    <phoneticPr fontId="2" type="noConversion"/>
  </si>
  <si>
    <t>MTM - CF(Call Date)</t>
    <phoneticPr fontId="2" type="noConversion"/>
  </si>
  <si>
    <t>MTM - Call date CF</t>
    <phoneticPr fontId="2" type="noConversion"/>
  </si>
  <si>
    <t>계급값</t>
    <phoneticPr fontId="2" type="noConversion"/>
  </si>
  <si>
    <t>60억 이상</t>
    <phoneticPr fontId="2" type="noConversion"/>
  </si>
  <si>
    <t>50억~60억</t>
    <phoneticPr fontId="2" type="noConversion"/>
  </si>
  <si>
    <t>40억~-50억</t>
    <phoneticPr fontId="2" type="noConversion"/>
  </si>
  <si>
    <t>30억~40억</t>
    <phoneticPr fontId="2" type="noConversion"/>
  </si>
  <si>
    <t>20억~30억</t>
    <phoneticPr fontId="2" type="noConversion"/>
  </si>
  <si>
    <t>10억~20억</t>
    <phoneticPr fontId="2" type="noConversion"/>
  </si>
  <si>
    <t>-0억~10억</t>
    <phoneticPr fontId="2" type="noConversion"/>
  </si>
  <si>
    <t>-10억~-0억</t>
    <phoneticPr fontId="2" type="noConversion"/>
  </si>
  <si>
    <t>-20억~-10억</t>
    <phoneticPr fontId="2" type="noConversion"/>
  </si>
  <si>
    <t>-30억~-20억</t>
    <phoneticPr fontId="2" type="noConversion"/>
  </si>
  <si>
    <t>-40억~-30억</t>
    <phoneticPr fontId="2" type="noConversion"/>
  </si>
  <si>
    <t>-40억 이하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</si>
</sst>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#,##0_);[Red]\(#,##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14" fontId="0" fillId="0" borderId="0" xfId="0" applyNumberFormat="1">
      <alignment vertical="center"/>
    </xf>
    <xf numFmtId="41" fontId="0" fillId="0" borderId="0" xfId="1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4" fillId="0" borderId="1" xfId="0" applyFont="1" applyBorder="1">
      <alignment vertical="center"/>
    </xf>
    <xf numFmtId="41" fontId="4" fillId="0" borderId="1" xfId="0" applyNumberFormat="1" applyFont="1" applyBorder="1">
      <alignment vertical="center"/>
    </xf>
    <xf numFmtId="41" fontId="4" fillId="0" borderId="1" xfId="1" applyFont="1" applyBorder="1">
      <alignment vertical="center"/>
    </xf>
    <xf numFmtId="0" fontId="4" fillId="0" borderId="8" xfId="0" applyFont="1" applyBorder="1">
      <alignment vertical="center"/>
    </xf>
    <xf numFmtId="41" fontId="4" fillId="0" borderId="0" xfId="0" applyNumberFormat="1" applyFont="1">
      <alignment vertical="center"/>
    </xf>
    <xf numFmtId="41" fontId="4" fillId="4" borderId="0" xfId="1" applyFont="1" applyFill="1" applyBorder="1">
      <alignment vertical="center"/>
    </xf>
    <xf numFmtId="0" fontId="0" fillId="0" borderId="4" xfId="0" quotePrefix="1" applyBorder="1">
      <alignment vertical="center"/>
    </xf>
    <xf numFmtId="43" fontId="0" fillId="0" borderId="4" xfId="0" applyNumberFormat="1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6" fillId="0" borderId="0" xfId="0" applyFont="1">
      <alignment vertical="center"/>
    </xf>
    <xf numFmtId="41" fontId="4" fillId="0" borderId="0" xfId="1" applyFont="1" applyBorder="1">
      <alignment vertical="center"/>
    </xf>
    <xf numFmtId="41" fontId="4" fillId="4" borderId="0" xfId="0" applyNumberFormat="1" applyFont="1" applyFill="1">
      <alignment vertical="center"/>
    </xf>
    <xf numFmtId="41" fontId="3" fillId="0" borderId="0" xfId="1" applyFont="1" applyBorder="1">
      <alignment vertical="center"/>
    </xf>
    <xf numFmtId="41" fontId="3" fillId="4" borderId="0" xfId="1" applyFont="1" applyFill="1" applyBorder="1">
      <alignment vertical="center"/>
    </xf>
    <xf numFmtId="41" fontId="3" fillId="5" borderId="0" xfId="1" applyFont="1" applyFill="1" applyBorder="1">
      <alignment vertical="center"/>
    </xf>
    <xf numFmtId="41" fontId="3" fillId="0" borderId="7" xfId="1" applyFont="1" applyBorder="1">
      <alignment vertical="center"/>
    </xf>
    <xf numFmtId="41" fontId="3" fillId="4" borderId="7" xfId="1" applyFont="1" applyFill="1" applyBorder="1">
      <alignment vertical="center"/>
    </xf>
    <xf numFmtId="176" fontId="0" fillId="4" borderId="0" xfId="0" applyNumberFormat="1" applyFill="1">
      <alignment vertical="center"/>
    </xf>
    <xf numFmtId="0" fontId="0" fillId="0" borderId="7" xfId="0" applyBorder="1" applyAlignment="1">
      <alignment horizontal="center" vertical="center"/>
    </xf>
    <xf numFmtId="176" fontId="0" fillId="2" borderId="7" xfId="0" applyNumberFormat="1" applyFill="1" applyBorder="1">
      <alignment vertical="center"/>
    </xf>
    <xf numFmtId="176" fontId="0" fillId="2" borderId="0" xfId="0" applyNumberFormat="1" applyFill="1">
      <alignment vertical="center"/>
    </xf>
    <xf numFmtId="0" fontId="3" fillId="0" borderId="8" xfId="0" applyFont="1" applyBorder="1" applyAlignment="1">
      <alignment vertical="center" wrapText="1"/>
    </xf>
    <xf numFmtId="176" fontId="3" fillId="4" borderId="0" xfId="0" applyNumberFormat="1" applyFont="1" applyFill="1">
      <alignment vertical="center"/>
    </xf>
    <xf numFmtId="0" fontId="3" fillId="0" borderId="8" xfId="0" applyFont="1" applyBorder="1">
      <alignment vertical="center"/>
    </xf>
    <xf numFmtId="14" fontId="3" fillId="4" borderId="0" xfId="0" applyNumberFormat="1" applyFont="1" applyFill="1">
      <alignment vertical="center"/>
    </xf>
    <xf numFmtId="41" fontId="0" fillId="0" borderId="0" xfId="1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8" xfId="0" quotePrefix="1" applyBorder="1">
      <alignment vertical="center"/>
    </xf>
    <xf numFmtId="41" fontId="7" fillId="0" borderId="0" xfId="1" applyFont="1" applyBorder="1">
      <alignment vertical="center"/>
    </xf>
    <xf numFmtId="41" fontId="7" fillId="0" borderId="0" xfId="0" applyNumberFormat="1" applyFont="1">
      <alignment vertical="center"/>
    </xf>
    <xf numFmtId="43" fontId="7" fillId="0" borderId="0" xfId="1" applyNumberFormat="1" applyFont="1" applyBorder="1">
      <alignment vertical="center"/>
    </xf>
    <xf numFmtId="0" fontId="3" fillId="0" borderId="8" xfId="0" quotePrefix="1" applyFont="1" applyBorder="1">
      <alignment vertical="center"/>
    </xf>
    <xf numFmtId="0" fontId="3" fillId="0" borderId="8" xfId="0" applyFont="1" applyBorder="1" applyAlignment="1">
      <alignment horizontal="left" vertical="center" wrapText="1"/>
    </xf>
    <xf numFmtId="41" fontId="4" fillId="4" borderId="0" xfId="0" applyNumberFormat="1" applyFont="1" applyFill="1" applyAlignment="1">
      <alignment horizontal="center" vertical="center"/>
    </xf>
    <xf numFmtId="41" fontId="3" fillId="0" borderId="8" xfId="1" applyFont="1" applyBorder="1">
      <alignment vertical="center"/>
    </xf>
    <xf numFmtId="41" fontId="3" fillId="0" borderId="0" xfId="1" quotePrefix="1" applyFont="1" applyBorder="1">
      <alignment vertical="center"/>
    </xf>
    <xf numFmtId="41" fontId="0" fillId="0" borderId="0" xfId="1" quotePrefix="1" applyFont="1" applyBorder="1">
      <alignment vertic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7" xfId="0" quotePrefix="1" applyFont="1" applyBorder="1">
      <alignment vertical="center"/>
    </xf>
    <xf numFmtId="0" fontId="0" fillId="3" borderId="0" xfId="0" applyFill="1">
      <alignment vertical="center"/>
    </xf>
    <xf numFmtId="41" fontId="4" fillId="0" borderId="7" xfId="1" applyFont="1" applyBorder="1">
      <alignment vertical="center"/>
    </xf>
    <xf numFmtId="0" fontId="4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41" fontId="3" fillId="0" borderId="4" xfId="1" applyFont="1" applyBorder="1">
      <alignment vertical="center"/>
    </xf>
    <xf numFmtId="41" fontId="3" fillId="0" borderId="6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 sz="2800"/>
              <a:t>MTM</a:t>
            </a:r>
            <a:r>
              <a:rPr lang="en-US" altLang="ko-KR" sz="2800" baseline="0"/>
              <a:t> - Call date CF</a:t>
            </a:r>
            <a:endParaRPr lang="ko-KR" alt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96924304987629E-4"/>
          <c:y val="0.10676539354201843"/>
          <c:w val="0.95256070402964332"/>
          <c:h val="0.84680346408066609"/>
        </c:manualLayout>
      </c:layout>
      <c:barChart>
        <c:barDir val="col"/>
        <c:grouping val="clustered"/>
        <c:varyColors val="0"/>
        <c:ser>
          <c:idx val="0"/>
          <c:order val="0"/>
          <c:tx>
            <c:v>액면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2"/>
              <c:pt idx="0">
                <c:v>60억 이상</c:v>
              </c:pt>
              <c:pt idx="1">
                <c:v>50억~60억</c:v>
              </c:pt>
              <c:pt idx="2">
                <c:v>40억~-50억</c:v>
              </c:pt>
              <c:pt idx="3">
                <c:v>30억~40억</c:v>
              </c:pt>
              <c:pt idx="4">
                <c:v>20억~30억</c:v>
              </c:pt>
              <c:pt idx="5">
                <c:v>10억~20억</c:v>
              </c:pt>
              <c:pt idx="6">
                <c:v>-0억~10억</c:v>
              </c:pt>
              <c:pt idx="7">
                <c:v>-10억~-0억</c:v>
              </c:pt>
              <c:pt idx="8">
                <c:v>-20억~-10억</c:v>
              </c:pt>
              <c:pt idx="9">
                <c:v>-30억~-20억</c:v>
              </c:pt>
              <c:pt idx="10">
                <c:v>-40억~-30억</c:v>
              </c:pt>
              <c:pt idx="11">
                <c:v>-40억 이하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300</c:v>
              </c:pt>
              <c:pt idx="4">
                <c:v>718.95</c:v>
              </c:pt>
              <c:pt idx="5">
                <c:v>1317.1499999999999</c:v>
              </c:pt>
              <c:pt idx="6">
                <c:v>4767.3099999999995</c:v>
              </c:pt>
              <c:pt idx="7">
                <c:v>6713.9800000000005</c:v>
              </c:pt>
              <c:pt idx="8">
                <c:v>5814.3000000000029</c:v>
              </c:pt>
              <c:pt idx="9">
                <c:v>8330.0299999999988</c:v>
              </c:pt>
              <c:pt idx="10">
                <c:v>4097.5500000000029</c:v>
              </c:pt>
              <c:pt idx="11">
                <c:v>4024.5</c:v>
              </c:pt>
            </c:numLit>
          </c:val>
          <c:extLst>
            <c:ext xmlns:c16="http://schemas.microsoft.com/office/drawing/2014/chart" uri="{C3380CC4-5D6E-409C-BE32-E72D297353CC}">
              <c16:uniqueId val="{00000000-08A8-4940-AABD-FC4410693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580583"/>
        <c:axId val="552580255"/>
      </c:barChart>
      <c:catAx>
        <c:axId val="5525805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255"/>
        <c:crosses val="autoZero"/>
        <c:auto val="1"/>
        <c:lblAlgn val="ctr"/>
        <c:lblOffset val="100"/>
        <c:noMultiLvlLbl val="0"/>
      </c:catAx>
      <c:valAx>
        <c:axId val="5525802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58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유형별 </a:t>
            </a:r>
            <a:r>
              <a:rPr lang="en-US" altLang="ko-KR" sz="2000" b="1"/>
              <a:t>PnL Attribution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PnL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47-41C8-BCEA-1BE9AB5595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47-41C8-BCEA-1BE9AB5595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47-41C8-BCEA-1BE9AB5595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47-41C8-BCEA-1BE9AB5595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47-41C8-BCEA-1BE9AB5595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47-41C8-BCEA-1BE9AB5595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347-41C8-BCEA-1BE9AB55959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347-41C8-BCEA-1BE9AB55959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347-41C8-BCEA-1BE9AB55959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347-41C8-BCEA-1BE9AB55959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347-41C8-BCEA-1BE9AB559594}"/>
              </c:ext>
            </c:extLst>
          </c:dPt>
          <c:cat>
            <c:strLit>
              <c:ptCount val="11"/>
              <c:pt idx="0">
                <c:v>$ Zero-Coupon</c:v>
              </c:pt>
              <c:pt idx="1">
                <c:v>$ UCMS/T10 R.A</c:v>
              </c:pt>
              <c:pt idx="2">
                <c:v>$ KCMT10-3</c:v>
              </c:pt>
              <c:pt idx="3">
                <c:v>(Won) Zero-Coupon</c:v>
              </c:pt>
              <c:pt idx="4">
                <c:v>KCMT10-3</c:v>
              </c:pt>
              <c:pt idx="5">
                <c:v>UCMS30-2</c:v>
              </c:pt>
              <c:pt idx="6">
                <c:v>CD-KTB Power</c:v>
              </c:pt>
              <c:pt idx="7">
                <c:v>CD-KTB R.A</c:v>
              </c:pt>
              <c:pt idx="8">
                <c:v>IRS1Y - CCS1Y</c:v>
              </c:pt>
              <c:pt idx="9">
                <c:v>KCMS10-2</c:v>
              </c:pt>
              <c:pt idx="10">
                <c:v>별도관리 대상(tobe restruc)</c:v>
              </c:pt>
            </c:strLit>
          </c:cat>
          <c:val>
            <c:numLit>
              <c:formatCode>General</c:formatCode>
              <c:ptCount val="11"/>
              <c:pt idx="0">
                <c:v>385932364.23497701</c:v>
              </c:pt>
              <c:pt idx="1">
                <c:v>223781581.84910682</c:v>
              </c:pt>
              <c:pt idx="2">
                <c:v>56275126.177092478</c:v>
              </c:pt>
              <c:pt idx="3">
                <c:v>42247512</c:v>
              </c:pt>
              <c:pt idx="4">
                <c:v>84024717</c:v>
              </c:pt>
              <c:pt idx="5">
                <c:v>678218.5</c:v>
              </c:pt>
              <c:pt idx="6">
                <c:v>-108405415.5</c:v>
              </c:pt>
              <c:pt idx="7">
                <c:v>24109392.5</c:v>
              </c:pt>
              <c:pt idx="8">
                <c:v>22331095.5</c:v>
              </c:pt>
              <c:pt idx="9">
                <c:v>217725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6-0347-41C8-BCEA-1BE9AB559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46546824731159E-2"/>
          <c:y val="0.7383873564055724"/>
          <c:w val="0.9820534531752686"/>
          <c:h val="0.2616126435944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1412876</xdr:colOff>
      <xdr:row>69</xdr:row>
      <xdr:rowOff>80962</xdr:rowOff>
    </xdr:from>
    <xdr:to>
      <xdr:col>5</xdr:col>
      <xdr:colOff>1079501</xdr:colOff>
      <xdr:row>93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158748</xdr:colOff>
      <xdr:row>21</xdr:row>
      <xdr:rowOff>65086</xdr:rowOff>
    </xdr:from>
    <xdr:to>
      <xdr:col>9</xdr:col>
      <xdr:colOff>1111249</xdr:colOff>
      <xdr:row>33</xdr:row>
      <xdr:rowOff>127000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114"/>
  <sheetViews>
    <sheetView showGridLines="0" tabSelected="1" zoomScale="70" zoomScaleNormal="70" workbookViewId="0">
      <selection activeCell="H12" sqref="H12"/>
    </sheetView>
  </sheetViews>
  <sheetFormatPr defaultRowHeight="16.5" x14ac:dyDescent="0.3"/>
  <cols>
    <col min="1" max="1" width="11.25" customWidth="1"/>
    <col min="2" max="2" width="17.125" customWidth="1"/>
    <col min="3" max="3" width="15.875" bestFit="1" customWidth="1"/>
    <col min="4" max="4" width="11" bestFit="1" customWidth="1"/>
    <col min="5" max="5" width="26.375" bestFit="1" customWidth="1"/>
    <col min="6" max="7" width="21" bestFit="1" customWidth="1"/>
    <col min="8" max="8" width="20.25" bestFit="1" customWidth="1"/>
    <col min="9" max="9" width="70.875" customWidth="1"/>
  </cols>
  <sheetData>
    <row r="1" spans="1:10" ht="26.25" x14ac:dyDescent="0.3">
      <c r="A1" s="62" t="s">
        <v>53</v>
      </c>
      <c r="B1" s="63"/>
      <c r="C1" s="63"/>
      <c r="D1" s="63"/>
      <c r="E1" s="63"/>
      <c r="F1" s="63"/>
      <c r="G1" s="63"/>
      <c r="H1" s="63"/>
      <c r="I1" s="63"/>
      <c r="J1" s="64"/>
    </row>
    <row r="6" spans="1:10" ht="31.5" x14ac:dyDescent="0.3">
      <c r="A6" s="52" t="s">
        <v>16</v>
      </c>
      <c r="B6" s="52" t="s">
        <v>54</v>
      </c>
      <c r="E6" s="59" t="s">
        <v>55</v>
      </c>
      <c r="F6" s="60"/>
      <c r="G6" s="60"/>
      <c r="H6" s="60"/>
      <c r="I6" s="61"/>
    </row>
    <row r="7" spans="1:10" x14ac:dyDescent="0.3">
      <c r="A7" t="s">
        <v>56</v>
      </c>
      <c r="B7" s="4">
        <v>46009</v>
      </c>
      <c r="E7" s="8"/>
      <c r="I7" s="9"/>
    </row>
    <row r="8" spans="1:10" ht="20.25" x14ac:dyDescent="0.3">
      <c r="A8" t="s">
        <v>17</v>
      </c>
      <c r="B8" s="4">
        <v>46013</v>
      </c>
      <c r="E8" s="10" t="s">
        <v>18</v>
      </c>
      <c r="F8" s="11">
        <v>16700</v>
      </c>
      <c r="I8" s="9"/>
    </row>
    <row r="9" spans="1:10" ht="20.25" x14ac:dyDescent="0.3">
      <c r="A9" t="s">
        <v>15</v>
      </c>
      <c r="B9" s="5">
        <v>1477.8</v>
      </c>
      <c r="E9" s="10" t="s">
        <v>19</v>
      </c>
      <c r="F9" s="12">
        <v>20583.77</v>
      </c>
      <c r="I9" s="9"/>
    </row>
    <row r="10" spans="1:10" ht="20.25" x14ac:dyDescent="0.3">
      <c r="A10" t="s">
        <v>20</v>
      </c>
      <c r="B10" t="s">
        <v>57</v>
      </c>
      <c r="C10" t="s">
        <v>58</v>
      </c>
      <c r="E10" s="13" t="s">
        <v>21</v>
      </c>
      <c r="F10" s="14">
        <v>37283.770000000004</v>
      </c>
      <c r="I10" s="9"/>
    </row>
    <row r="11" spans="1:10" x14ac:dyDescent="0.3">
      <c r="A11" t="s">
        <v>22</v>
      </c>
      <c r="E11" s="8"/>
      <c r="G11" s="50" t="s">
        <v>23</v>
      </c>
      <c r="H11" s="50" t="s">
        <v>24</v>
      </c>
      <c r="I11" s="9"/>
    </row>
    <row r="12" spans="1:10" ht="20.25" x14ac:dyDescent="0.3">
      <c r="A12" t="s">
        <v>25</v>
      </c>
      <c r="E12" s="58" t="s">
        <v>26</v>
      </c>
      <c r="F12" s="10" t="s">
        <v>27</v>
      </c>
      <c r="G12" s="15">
        <v>198553648</v>
      </c>
      <c r="H12" s="15">
        <v>137340485</v>
      </c>
      <c r="I12" s="16"/>
    </row>
    <row r="13" spans="1:10" ht="20.25" x14ac:dyDescent="0.3">
      <c r="A13" t="s">
        <v>28</v>
      </c>
      <c r="E13" s="58"/>
      <c r="F13" s="10" t="s">
        <v>29</v>
      </c>
      <c r="G13" s="15">
        <v>979348831.20573199</v>
      </c>
      <c r="H13" s="15">
        <v>650937059.98274231</v>
      </c>
      <c r="I13" s="17"/>
    </row>
    <row r="14" spans="1:10" ht="20.25" x14ac:dyDescent="0.3">
      <c r="A14" t="s">
        <v>30</v>
      </c>
      <c r="E14" s="58" t="s">
        <v>31</v>
      </c>
      <c r="F14" s="10" t="s">
        <v>27</v>
      </c>
      <c r="G14" s="15">
        <v>1250000</v>
      </c>
      <c r="H14" s="15">
        <v>500000</v>
      </c>
      <c r="I14" s="16"/>
    </row>
    <row r="15" spans="1:10" ht="20.25" x14ac:dyDescent="0.3">
      <c r="A15" t="s">
        <v>59</v>
      </c>
      <c r="E15" s="58"/>
      <c r="F15" s="10" t="s">
        <v>29</v>
      </c>
      <c r="G15" s="15">
        <v>4002399.7222222225</v>
      </c>
      <c r="H15" s="15">
        <v>571771.38888888888</v>
      </c>
      <c r="I15" s="9"/>
    </row>
    <row r="16" spans="1:10" x14ac:dyDescent="0.3">
      <c r="A16" t="s">
        <v>60</v>
      </c>
      <c r="E16" s="8"/>
      <c r="I16" s="9"/>
    </row>
    <row r="17" spans="1:10" x14ac:dyDescent="0.3">
      <c r="A17" t="s">
        <v>32</v>
      </c>
      <c r="E17" s="8"/>
      <c r="I17" s="9"/>
    </row>
    <row r="18" spans="1:10" x14ac:dyDescent="0.3">
      <c r="A18" t="s">
        <v>33</v>
      </c>
      <c r="E18" s="18"/>
      <c r="F18" s="7"/>
      <c r="G18" s="7"/>
      <c r="H18" s="7"/>
      <c r="I18" s="19"/>
    </row>
    <row r="21" spans="1:10" ht="31.5" x14ac:dyDescent="0.3">
      <c r="B21" s="59" t="s">
        <v>61</v>
      </c>
      <c r="C21" s="60"/>
      <c r="D21" s="60"/>
      <c r="E21" s="60"/>
      <c r="F21" s="60"/>
      <c r="G21" s="60"/>
      <c r="H21" s="60"/>
      <c r="I21" s="60"/>
      <c r="J21" s="61"/>
    </row>
    <row r="22" spans="1:10" x14ac:dyDescent="0.3">
      <c r="B22" s="8"/>
      <c r="J22" s="9"/>
    </row>
    <row r="23" spans="1:10" x14ac:dyDescent="0.3">
      <c r="B23" s="8"/>
      <c r="J23" s="9"/>
    </row>
    <row r="24" spans="1:10" ht="31.5" x14ac:dyDescent="0.3">
      <c r="B24" s="8"/>
      <c r="E24" s="20"/>
      <c r="J24" s="9"/>
    </row>
    <row r="25" spans="1:10" ht="31.5" x14ac:dyDescent="0.3">
      <c r="B25" s="8"/>
      <c r="E25" s="20"/>
      <c r="J25" s="9"/>
    </row>
    <row r="26" spans="1:10" ht="31.5" x14ac:dyDescent="0.3">
      <c r="B26" s="8"/>
      <c r="E26" s="20"/>
      <c r="J26" s="9"/>
    </row>
    <row r="27" spans="1:10" ht="31.5" x14ac:dyDescent="0.3">
      <c r="B27" s="8"/>
      <c r="E27" s="20"/>
      <c r="J27" s="9"/>
    </row>
    <row r="28" spans="1:10" ht="31.5" x14ac:dyDescent="0.3">
      <c r="B28" s="8"/>
      <c r="E28" s="20"/>
      <c r="J28" s="9"/>
    </row>
    <row r="29" spans="1:10" ht="31.5" x14ac:dyDescent="0.3">
      <c r="B29" s="8"/>
      <c r="E29" s="20"/>
      <c r="J29" s="9"/>
    </row>
    <row r="30" spans="1:10" ht="31.5" x14ac:dyDescent="0.3">
      <c r="B30" s="8"/>
      <c r="E30" s="20"/>
      <c r="J30" s="9"/>
    </row>
    <row r="31" spans="1:10" ht="31.5" x14ac:dyDescent="0.3">
      <c r="B31" s="8"/>
      <c r="E31" s="20"/>
      <c r="J31" s="9"/>
    </row>
    <row r="32" spans="1:10" ht="31.5" x14ac:dyDescent="0.3">
      <c r="B32" s="8"/>
      <c r="E32" s="20"/>
      <c r="J32" s="9"/>
    </row>
    <row r="33" spans="2:10" x14ac:dyDescent="0.3">
      <c r="B33" s="8"/>
      <c r="D33" s="2"/>
      <c r="F33" s="3"/>
      <c r="J33" s="9"/>
    </row>
    <row r="34" spans="2:10" x14ac:dyDescent="0.3">
      <c r="B34" s="8"/>
      <c r="D34" s="2"/>
      <c r="J34" s="9"/>
    </row>
    <row r="35" spans="2:10" ht="20.25" x14ac:dyDescent="0.3">
      <c r="B35" s="8"/>
      <c r="D35" s="2"/>
      <c r="G35" s="53" t="s">
        <v>34</v>
      </c>
      <c r="H35" s="53" t="s">
        <v>35</v>
      </c>
      <c r="J35" s="9"/>
    </row>
    <row r="36" spans="2:10" ht="20.25" x14ac:dyDescent="0.3">
      <c r="B36" s="8"/>
      <c r="D36" s="2"/>
      <c r="E36" s="54" t="s">
        <v>36</v>
      </c>
      <c r="F36" s="22">
        <v>731192317.26117623</v>
      </c>
      <c r="G36" s="15">
        <v>-61068984</v>
      </c>
      <c r="H36" s="15">
        <v>792261301.26117623</v>
      </c>
      <c r="J36" s="9"/>
    </row>
    <row r="37" spans="2:10" x14ac:dyDescent="0.3">
      <c r="B37" s="8"/>
      <c r="D37" s="2"/>
      <c r="J37" s="9"/>
    </row>
    <row r="38" spans="2:10" x14ac:dyDescent="0.3">
      <c r="B38" s="8"/>
      <c r="D38" s="2"/>
      <c r="G38" s="26" t="s">
        <v>37</v>
      </c>
      <c r="H38" s="55" t="s">
        <v>6</v>
      </c>
      <c r="J38" s="9"/>
    </row>
    <row r="39" spans="2:10" x14ac:dyDescent="0.3">
      <c r="B39" s="8"/>
      <c r="D39" s="2"/>
      <c r="E39" s="56" t="s">
        <v>38</v>
      </c>
      <c r="F39" s="24">
        <v>792261301.26117623</v>
      </c>
      <c r="G39" s="25">
        <v>788277544.98274231</v>
      </c>
      <c r="H39" s="25">
        <v>3983756.278433919</v>
      </c>
      <c r="J39" s="9"/>
    </row>
    <row r="40" spans="2:10" x14ac:dyDescent="0.3">
      <c r="B40" s="8"/>
      <c r="D40" s="2"/>
      <c r="J40" s="9"/>
    </row>
    <row r="41" spans="2:10" x14ac:dyDescent="0.3">
      <c r="B41" s="8"/>
      <c r="D41" s="2"/>
      <c r="J41" s="9"/>
    </row>
    <row r="42" spans="2:10" x14ac:dyDescent="0.3">
      <c r="B42" s="8"/>
      <c r="D42" s="2"/>
      <c r="E42" s="57" t="s">
        <v>39</v>
      </c>
      <c r="F42" s="27">
        <v>-61068984</v>
      </c>
      <c r="G42" s="57" t="s">
        <v>38</v>
      </c>
      <c r="H42" s="27">
        <v>792261301.26117623</v>
      </c>
      <c r="J42" s="9"/>
    </row>
    <row r="43" spans="2:10" x14ac:dyDescent="0.3">
      <c r="B43" s="8"/>
      <c r="D43" s="2"/>
      <c r="E43" s="9" t="s">
        <v>4</v>
      </c>
      <c r="F43" s="28">
        <v>678218.5</v>
      </c>
      <c r="G43" s="9" t="s">
        <v>40</v>
      </c>
      <c r="H43" s="28">
        <v>385932364.23497701</v>
      </c>
      <c r="J43" s="9"/>
    </row>
    <row r="44" spans="2:10" x14ac:dyDescent="0.3">
      <c r="B44" s="8"/>
      <c r="D44" s="2"/>
      <c r="E44" s="9" t="s">
        <v>11</v>
      </c>
      <c r="F44" s="28">
        <v>-108405415.5</v>
      </c>
      <c r="G44" s="9" t="s">
        <v>41</v>
      </c>
      <c r="H44" s="28">
        <v>223781581.84910682</v>
      </c>
      <c r="J44" s="9"/>
    </row>
    <row r="45" spans="2:10" x14ac:dyDescent="0.3">
      <c r="B45" s="8"/>
      <c r="D45" s="2"/>
      <c r="E45" s="9" t="s">
        <v>12</v>
      </c>
      <c r="F45" s="28">
        <v>24109392.5</v>
      </c>
      <c r="G45" s="9" t="s">
        <v>1</v>
      </c>
      <c r="H45" s="28">
        <v>56275126.177092478</v>
      </c>
      <c r="J45" s="9"/>
    </row>
    <row r="46" spans="2:10" x14ac:dyDescent="0.3">
      <c r="B46" s="8"/>
      <c r="D46" s="2"/>
      <c r="E46" s="9" t="s">
        <v>13</v>
      </c>
      <c r="F46" s="28">
        <v>22331095.5</v>
      </c>
      <c r="G46" s="9" t="s">
        <v>42</v>
      </c>
      <c r="H46" s="28">
        <v>42247512</v>
      </c>
      <c r="J46" s="9"/>
    </row>
    <row r="47" spans="2:10" x14ac:dyDescent="0.3">
      <c r="B47" s="8"/>
      <c r="D47" s="2"/>
      <c r="E47" s="9" t="s">
        <v>14</v>
      </c>
      <c r="F47" s="28">
        <v>217725</v>
      </c>
      <c r="G47" s="9" t="s">
        <v>3</v>
      </c>
      <c r="H47" s="28">
        <v>84024717</v>
      </c>
      <c r="J47" s="9"/>
    </row>
    <row r="48" spans="2:10" x14ac:dyDescent="0.3">
      <c r="B48" s="8"/>
      <c r="D48" s="2"/>
      <c r="E48" s="9" t="s">
        <v>5</v>
      </c>
      <c r="F48" s="28">
        <v>0</v>
      </c>
      <c r="G48" s="9"/>
      <c r="H48" s="28"/>
      <c r="J48" s="9"/>
    </row>
    <row r="49" spans="2:10" x14ac:dyDescent="0.3">
      <c r="B49" s="8"/>
      <c r="J49" s="9"/>
    </row>
    <row r="50" spans="2:10" x14ac:dyDescent="0.3">
      <c r="B50" s="18"/>
      <c r="C50" s="7"/>
      <c r="D50" s="29"/>
      <c r="E50" s="7" t="s">
        <v>62</v>
      </c>
      <c r="F50" s="30">
        <v>-37493062.680871293</v>
      </c>
      <c r="G50" s="7"/>
      <c r="H50" s="7"/>
      <c r="I50" s="7"/>
      <c r="J50" s="19"/>
    </row>
    <row r="51" spans="2:10" x14ac:dyDescent="0.3">
      <c r="D51" s="2"/>
      <c r="F51" s="31"/>
    </row>
    <row r="52" spans="2:10" x14ac:dyDescent="0.3">
      <c r="D52" s="2"/>
      <c r="F52" s="31"/>
    </row>
    <row r="53" spans="2:10" ht="31.5" x14ac:dyDescent="0.3">
      <c r="B53" s="59" t="s">
        <v>63</v>
      </c>
      <c r="C53" s="60"/>
      <c r="D53" s="60"/>
      <c r="E53" s="60"/>
      <c r="F53" s="60"/>
      <c r="G53" s="60"/>
      <c r="H53" s="60"/>
      <c r="I53" s="60"/>
      <c r="J53" s="61"/>
    </row>
    <row r="54" spans="2:10" ht="33" x14ac:dyDescent="0.3">
      <c r="B54" s="32" t="s">
        <v>64</v>
      </c>
      <c r="C54" s="33">
        <v>300</v>
      </c>
      <c r="J54" s="9"/>
    </row>
    <row r="55" spans="2:10" x14ac:dyDescent="0.3">
      <c r="B55" s="8"/>
      <c r="J55" s="9"/>
    </row>
    <row r="56" spans="2:10" x14ac:dyDescent="0.3">
      <c r="B56" s="49" t="s">
        <v>65</v>
      </c>
      <c r="C56" s="7" t="s">
        <v>66</v>
      </c>
      <c r="D56" s="7" t="s">
        <v>67</v>
      </c>
      <c r="E56" s="50" t="s">
        <v>68</v>
      </c>
      <c r="F56" s="7" t="s">
        <v>69</v>
      </c>
      <c r="G56" s="7" t="s">
        <v>70</v>
      </c>
      <c r="H56" s="51" t="s">
        <v>71</v>
      </c>
      <c r="I56" s="7" t="s">
        <v>72</v>
      </c>
      <c r="J56" s="9"/>
    </row>
    <row r="57" spans="2:10" x14ac:dyDescent="0.3">
      <c r="B57" s="34">
        <v>1</v>
      </c>
      <c r="C57" t="s">
        <v>43</v>
      </c>
      <c r="D57" t="s">
        <v>44</v>
      </c>
      <c r="E57" s="35">
        <v>46042</v>
      </c>
      <c r="F57" s="36">
        <v>3000000</v>
      </c>
      <c r="G57" t="s">
        <v>2</v>
      </c>
      <c r="H57" s="33">
        <v>-2084531289.52056</v>
      </c>
      <c r="I57" t="s">
        <v>7</v>
      </c>
      <c r="J57" s="9"/>
    </row>
    <row r="58" spans="2:10" x14ac:dyDescent="0.3">
      <c r="B58" s="34">
        <v>2</v>
      </c>
      <c r="C58" t="s">
        <v>47</v>
      </c>
      <c r="D58" t="s">
        <v>48</v>
      </c>
      <c r="E58" s="35">
        <v>46017</v>
      </c>
      <c r="F58" s="36">
        <v>30000000</v>
      </c>
      <c r="G58" t="s">
        <v>0</v>
      </c>
      <c r="H58" s="33">
        <v>-612933326.10469985</v>
      </c>
      <c r="I58" t="s">
        <v>10</v>
      </c>
      <c r="J58" s="9"/>
    </row>
    <row r="59" spans="2:10" x14ac:dyDescent="0.3">
      <c r="B59" s="34">
        <v>3</v>
      </c>
      <c r="C59" t="s">
        <v>49</v>
      </c>
      <c r="D59" t="s">
        <v>48</v>
      </c>
      <c r="E59" s="35">
        <v>46015</v>
      </c>
      <c r="F59" s="36">
        <v>30000000</v>
      </c>
      <c r="G59" t="s">
        <v>0</v>
      </c>
      <c r="H59" s="33">
        <v>-560619302.04914379</v>
      </c>
      <c r="I59" t="s">
        <v>9</v>
      </c>
      <c r="J59" s="9"/>
    </row>
    <row r="60" spans="2:10" x14ac:dyDescent="0.3">
      <c r="B60" s="8"/>
      <c r="G60" s="1"/>
      <c r="J60" s="9"/>
    </row>
    <row r="61" spans="2:10" ht="33" x14ac:dyDescent="0.3">
      <c r="B61" s="37" t="s">
        <v>73</v>
      </c>
      <c r="C61" s="18" t="s">
        <v>74</v>
      </c>
      <c r="D61" s="7" t="s">
        <v>75</v>
      </c>
      <c r="E61" s="7" t="s">
        <v>76</v>
      </c>
      <c r="G61" s="1"/>
      <c r="J61" s="9"/>
    </row>
    <row r="62" spans="2:10" x14ac:dyDescent="0.3">
      <c r="B62" s="38" t="s">
        <v>77</v>
      </c>
      <c r="C62" s="39">
        <v>500</v>
      </c>
      <c r="D62" s="39">
        <v>6448.72</v>
      </c>
      <c r="E62" s="40">
        <v>6948.72</v>
      </c>
      <c r="J62" s="9"/>
    </row>
    <row r="63" spans="2:10" x14ac:dyDescent="0.3">
      <c r="B63" s="38" t="s">
        <v>78</v>
      </c>
      <c r="C63" s="39">
        <v>4300</v>
      </c>
      <c r="D63" s="41">
        <v>6100.39</v>
      </c>
      <c r="E63" s="40">
        <v>10400.39</v>
      </c>
      <c r="J63" s="9"/>
    </row>
    <row r="64" spans="2:10" x14ac:dyDescent="0.3">
      <c r="B64" s="38" t="s">
        <v>79</v>
      </c>
      <c r="C64" s="39">
        <v>10900</v>
      </c>
      <c r="D64" s="41">
        <v>6444.8399999999992</v>
      </c>
      <c r="E64" s="40">
        <v>17344.84</v>
      </c>
      <c r="J64" s="9"/>
    </row>
    <row r="65" spans="2:10" x14ac:dyDescent="0.3">
      <c r="B65" s="38" t="s">
        <v>80</v>
      </c>
      <c r="C65" s="39">
        <v>900</v>
      </c>
      <c r="D65" s="41">
        <v>1589.82</v>
      </c>
      <c r="E65" s="39">
        <v>2489.8199999999997</v>
      </c>
      <c r="J65" s="9"/>
    </row>
    <row r="66" spans="2:10" x14ac:dyDescent="0.3">
      <c r="B66" s="38" t="s">
        <v>81</v>
      </c>
      <c r="C66" s="39">
        <v>0</v>
      </c>
      <c r="D66" s="39">
        <v>0</v>
      </c>
      <c r="E66" s="39">
        <v>0</v>
      </c>
      <c r="J66" s="9"/>
    </row>
    <row r="67" spans="2:10" ht="20.25" x14ac:dyDescent="0.3">
      <c r="B67" s="42" t="s">
        <v>82</v>
      </c>
      <c r="C67" s="21">
        <v>300</v>
      </c>
      <c r="D67" s="21">
        <v>0</v>
      </c>
      <c r="E67" s="21">
        <v>300</v>
      </c>
      <c r="J67" s="9"/>
    </row>
    <row r="68" spans="2:10" ht="20.25" x14ac:dyDescent="0.3">
      <c r="B68" s="42"/>
      <c r="C68" s="21"/>
      <c r="D68" s="21"/>
      <c r="E68" s="21"/>
      <c r="J68" s="9"/>
    </row>
    <row r="69" spans="2:10" ht="49.5" x14ac:dyDescent="0.3">
      <c r="B69" s="43" t="s">
        <v>46</v>
      </c>
      <c r="C69" s="44">
        <v>1018.95</v>
      </c>
      <c r="J69" s="9"/>
    </row>
    <row r="70" spans="2:10" x14ac:dyDescent="0.3">
      <c r="B70" s="43"/>
      <c r="J70" s="9"/>
    </row>
    <row r="71" spans="2:10" x14ac:dyDescent="0.3">
      <c r="B71" s="43"/>
      <c r="J71" s="9"/>
    </row>
    <row r="72" spans="2:10" x14ac:dyDescent="0.3">
      <c r="B72" s="43"/>
      <c r="J72" s="9"/>
    </row>
    <row r="73" spans="2:10" x14ac:dyDescent="0.3">
      <c r="B73" s="43"/>
      <c r="J73" s="9"/>
    </row>
    <row r="74" spans="2:10" x14ac:dyDescent="0.3">
      <c r="B74" s="43"/>
      <c r="J74" s="9"/>
    </row>
    <row r="75" spans="2:10" x14ac:dyDescent="0.3">
      <c r="B75" s="43"/>
      <c r="J75" s="9"/>
    </row>
    <row r="76" spans="2:10" x14ac:dyDescent="0.3">
      <c r="B76" s="43"/>
      <c r="J76" s="9"/>
    </row>
    <row r="77" spans="2:10" x14ac:dyDescent="0.3">
      <c r="B77" s="43"/>
      <c r="J77" s="9"/>
    </row>
    <row r="78" spans="2:10" x14ac:dyDescent="0.3">
      <c r="B78" s="43"/>
      <c r="J78" s="9"/>
    </row>
    <row r="79" spans="2:10" x14ac:dyDescent="0.3">
      <c r="B79" s="43"/>
      <c r="J79" s="9"/>
    </row>
    <row r="80" spans="2:10" x14ac:dyDescent="0.3">
      <c r="B80" s="43"/>
      <c r="J80" s="9"/>
    </row>
    <row r="81" spans="2:10" x14ac:dyDescent="0.3">
      <c r="B81" s="43"/>
      <c r="J81" s="9"/>
    </row>
    <row r="82" spans="2:10" x14ac:dyDescent="0.3">
      <c r="B82" s="43"/>
      <c r="J82" s="9"/>
    </row>
    <row r="83" spans="2:10" x14ac:dyDescent="0.3">
      <c r="B83" s="43"/>
      <c r="J83" s="9"/>
    </row>
    <row r="84" spans="2:10" x14ac:dyDescent="0.3">
      <c r="B84" s="43"/>
      <c r="J84" s="9"/>
    </row>
    <row r="85" spans="2:10" x14ac:dyDescent="0.3">
      <c r="B85" s="43"/>
      <c r="J85" s="9"/>
    </row>
    <row r="86" spans="2:10" x14ac:dyDescent="0.3">
      <c r="B86" s="43"/>
      <c r="J86" s="9"/>
    </row>
    <row r="87" spans="2:10" x14ac:dyDescent="0.3">
      <c r="B87" s="43"/>
      <c r="J87" s="9"/>
    </row>
    <row r="88" spans="2:10" x14ac:dyDescent="0.3">
      <c r="B88" s="43"/>
      <c r="J88" s="9"/>
    </row>
    <row r="89" spans="2:10" x14ac:dyDescent="0.3">
      <c r="B89" s="43"/>
      <c r="J89" s="9"/>
    </row>
    <row r="90" spans="2:10" x14ac:dyDescent="0.3">
      <c r="B90" s="43"/>
      <c r="J90" s="9"/>
    </row>
    <row r="91" spans="2:10" x14ac:dyDescent="0.3">
      <c r="B91" s="43"/>
      <c r="J91" s="9"/>
    </row>
    <row r="92" spans="2:10" x14ac:dyDescent="0.3">
      <c r="B92" s="43"/>
      <c r="J92" s="9"/>
    </row>
    <row r="93" spans="2:10" x14ac:dyDescent="0.3">
      <c r="B93" s="43"/>
      <c r="J93" s="9"/>
    </row>
    <row r="94" spans="2:10" x14ac:dyDescent="0.3">
      <c r="B94" s="43"/>
      <c r="J94" s="9"/>
    </row>
    <row r="95" spans="2:10" x14ac:dyDescent="0.3">
      <c r="B95" s="43"/>
      <c r="J95" s="9"/>
    </row>
    <row r="96" spans="2:10" x14ac:dyDescent="0.3">
      <c r="B96" s="49" t="s">
        <v>83</v>
      </c>
      <c r="C96" s="7" t="s">
        <v>66</v>
      </c>
      <c r="D96" s="7" t="s">
        <v>67</v>
      </c>
      <c r="E96" s="50" t="s">
        <v>68</v>
      </c>
      <c r="F96" s="7" t="s">
        <v>69</v>
      </c>
      <c r="G96" s="7" t="s">
        <v>70</v>
      </c>
      <c r="H96" s="7" t="s">
        <v>84</v>
      </c>
      <c r="I96" s="7" t="s">
        <v>72</v>
      </c>
      <c r="J96" s="9"/>
    </row>
    <row r="97" spans="2:10" x14ac:dyDescent="0.3">
      <c r="B97" s="45">
        <v>1</v>
      </c>
      <c r="C97" t="s">
        <v>43</v>
      </c>
      <c r="D97" t="s">
        <v>44</v>
      </c>
      <c r="E97" s="35">
        <v>46042</v>
      </c>
      <c r="F97" s="36">
        <v>3000000</v>
      </c>
      <c r="G97" t="s">
        <v>2</v>
      </c>
      <c r="H97" s="24">
        <v>3776040264.0205603</v>
      </c>
      <c r="I97" t="s">
        <v>7</v>
      </c>
      <c r="J97" s="9"/>
    </row>
    <row r="98" spans="2:10" x14ac:dyDescent="0.3">
      <c r="B98" s="45">
        <v>2</v>
      </c>
      <c r="C98" t="s">
        <v>50</v>
      </c>
      <c r="D98" t="s">
        <v>45</v>
      </c>
      <c r="E98" s="35">
        <v>46044</v>
      </c>
      <c r="F98" s="36">
        <v>50000000</v>
      </c>
      <c r="G98" t="s">
        <v>0</v>
      </c>
      <c r="H98" s="24">
        <v>2439320053.6999998</v>
      </c>
      <c r="I98" t="s">
        <v>51</v>
      </c>
      <c r="J98" s="9"/>
    </row>
    <row r="99" spans="2:10" x14ac:dyDescent="0.3">
      <c r="B99" s="45">
        <v>3</v>
      </c>
      <c r="C99" t="s">
        <v>52</v>
      </c>
      <c r="D99" t="s">
        <v>44</v>
      </c>
      <c r="E99" s="35">
        <v>46155</v>
      </c>
      <c r="F99" s="36">
        <v>3000000</v>
      </c>
      <c r="G99" t="s">
        <v>2</v>
      </c>
      <c r="H99" s="24">
        <v>1905382816.7739732</v>
      </c>
      <c r="I99" t="s">
        <v>8</v>
      </c>
      <c r="J99" s="9"/>
    </row>
    <row r="100" spans="2:10" x14ac:dyDescent="0.3">
      <c r="B100" s="8"/>
      <c r="J100" s="9"/>
    </row>
    <row r="101" spans="2:10" x14ac:dyDescent="0.3">
      <c r="B101" s="48" t="s">
        <v>85</v>
      </c>
      <c r="C101" s="7" t="s">
        <v>86</v>
      </c>
      <c r="D101" s="7" t="s">
        <v>69</v>
      </c>
      <c r="J101" s="9"/>
    </row>
    <row r="102" spans="2:10" x14ac:dyDescent="0.3">
      <c r="B102" s="6"/>
      <c r="C102" s="46" t="s">
        <v>87</v>
      </c>
      <c r="D102" s="46">
        <v>0</v>
      </c>
      <c r="J102" s="9"/>
    </row>
    <row r="103" spans="2:10" x14ac:dyDescent="0.3">
      <c r="B103" s="6"/>
      <c r="C103" s="46" t="s">
        <v>88</v>
      </c>
      <c r="D103" s="23">
        <v>0</v>
      </c>
      <c r="J103" s="9"/>
    </row>
    <row r="104" spans="2:10" x14ac:dyDescent="0.3">
      <c r="B104" s="6"/>
      <c r="C104" s="46" t="s">
        <v>89</v>
      </c>
      <c r="D104" s="23">
        <v>0</v>
      </c>
      <c r="J104" s="9"/>
    </row>
    <row r="105" spans="2:10" x14ac:dyDescent="0.3">
      <c r="B105" s="6"/>
      <c r="C105" s="46" t="s">
        <v>90</v>
      </c>
      <c r="D105" s="23">
        <v>300</v>
      </c>
      <c r="J105" s="9"/>
    </row>
    <row r="106" spans="2:10" x14ac:dyDescent="0.3">
      <c r="B106" s="6"/>
      <c r="C106" s="46" t="s">
        <v>91</v>
      </c>
      <c r="D106" s="23">
        <v>718.95</v>
      </c>
      <c r="J106" s="9"/>
    </row>
    <row r="107" spans="2:10" x14ac:dyDescent="0.3">
      <c r="B107" s="6"/>
      <c r="C107" s="47" t="s">
        <v>92</v>
      </c>
      <c r="D107" s="36">
        <v>1317.1499999999999</v>
      </c>
      <c r="J107" s="9"/>
    </row>
    <row r="108" spans="2:10" x14ac:dyDescent="0.3">
      <c r="B108" s="6"/>
      <c r="C108" s="47" t="s">
        <v>93</v>
      </c>
      <c r="D108" s="36">
        <v>4767.3099999999995</v>
      </c>
      <c r="J108" s="9"/>
    </row>
    <row r="109" spans="2:10" x14ac:dyDescent="0.3">
      <c r="B109" s="6"/>
      <c r="C109" s="47" t="s">
        <v>94</v>
      </c>
      <c r="D109" s="36">
        <v>6713.9800000000005</v>
      </c>
      <c r="J109" s="9"/>
    </row>
    <row r="110" spans="2:10" x14ac:dyDescent="0.3">
      <c r="B110" s="6"/>
      <c r="C110" s="47" t="s">
        <v>95</v>
      </c>
      <c r="D110" s="36">
        <v>5814.3000000000029</v>
      </c>
      <c r="J110" s="9"/>
    </row>
    <row r="111" spans="2:10" x14ac:dyDescent="0.3">
      <c r="B111" s="6"/>
      <c r="C111" s="47" t="s">
        <v>96</v>
      </c>
      <c r="D111" s="36">
        <v>8330.0299999999988</v>
      </c>
      <c r="J111" s="9"/>
    </row>
    <row r="112" spans="2:10" x14ac:dyDescent="0.3">
      <c r="B112" s="6"/>
      <c r="C112" s="47" t="s">
        <v>97</v>
      </c>
      <c r="D112" s="36">
        <v>4097.5500000000029</v>
      </c>
      <c r="J112" s="9"/>
    </row>
    <row r="113" spans="2:10" x14ac:dyDescent="0.3">
      <c r="B113" s="6"/>
      <c r="C113" s="47" t="s">
        <v>98</v>
      </c>
      <c r="D113" s="36">
        <v>4024.5</v>
      </c>
      <c r="J113" s="9"/>
    </row>
    <row r="114" spans="2:10" x14ac:dyDescent="0.3">
      <c r="B114" s="18"/>
      <c r="C114" s="7"/>
      <c r="D114" s="7"/>
      <c r="E114" s="7"/>
      <c r="F114" s="7"/>
      <c r="G114" s="7"/>
      <c r="H114" s="7"/>
      <c r="I114" s="7"/>
      <c r="J114" s="19"/>
    </row>
  </sheetData>
  <mergeCells count="6">
    <mergeCell ref="B53:J53"/>
    <mergeCell ref="A1:J1"/>
    <mergeCell ref="E6:I6"/>
    <mergeCell ref="E12:E13"/>
    <mergeCell ref="E14:E15"/>
    <mergeCell ref="B21:J2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20251222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Gunwoo Park</cp:lastModifiedBy>
  <dcterms:created xsi:type="dcterms:W3CDTF">2025-08-05T03:32:55Z</dcterms:created>
  <dcterms:modified xsi:type="dcterms:W3CDTF">2025-12-24T05:01:04Z</dcterms:modified>
</cp:coreProperties>
</file>