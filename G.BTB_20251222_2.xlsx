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3a3d8e2e1567c9/Desktop/"/>
    </mc:Choice>
  </mc:AlternateContent>
  <xr:revisionPtr revIDLastSave="0" documentId="8_{CFDDDFF0-A352-44EF-9EC3-2DD46D10657F}" xr6:coauthVersionLast="47" xr6:coauthVersionMax="47" xr10:uidLastSave="{00000000-0000-0000-0000-000000000000}"/>
  <bookViews>
    <workbookView xWindow="2130" yWindow="3750" windowWidth="12150" windowHeight="20745" xr2:uid="{D81ECEA8-7ED7-481F-A84F-1C5EA764B022}"/>
  </bookViews>
  <sheets>
    <sheet name="내역1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<sst xmlns="http://schemas.openxmlformats.org/spreadsheetml/2006/main" count="613" uniqueCount="188">
  <si>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Gapping BTB Monitoring Panel</t>
    <phoneticPr fontId="3" type="noConversion"/>
  </si>
  <si>
    <t>원화 잔고(억)</t>
    <phoneticPr fontId="3" type="noConversion"/>
  </si>
  <si>
    <t>Daily basis 25 Rsv.</t>
    <phoneticPr fontId="3" type="noConversion"/>
  </si>
  <si>
    <t>Before</t>
    <phoneticPr fontId="3" type="noConversion"/>
  </si>
  <si>
    <t>외화 잔고(억)</t>
    <phoneticPr fontId="3" type="noConversion"/>
  </si>
  <si>
    <t>Gapping Amt upto 25Y</t>
    <phoneticPr fontId="3" type="noConversion"/>
  </si>
  <si>
    <t>After</t>
    <phoneticPr fontId="3" type="noConversion"/>
  </si>
  <si>
    <t>$ Zero-Coupon</t>
    <phoneticPr fontId="3" type="noConversion"/>
  </si>
  <si>
    <t>평균캐리(현CF)</t>
    <phoneticPr fontId="3" type="noConversion"/>
  </si>
  <si>
    <t>ROLL</t>
    <phoneticPr fontId="3" type="noConversion"/>
  </si>
  <si>
    <t>Deal Description</t>
    <phoneticPr fontId="3" type="noConversion"/>
  </si>
  <si>
    <t>Payoff Estimation</t>
    <phoneticPr fontId="3" type="noConversion"/>
  </si>
  <si>
    <t>MTM</t>
    <phoneticPr fontId="3" type="noConversion"/>
  </si>
  <si>
    <t>Valuation (upto Next CallDate)</t>
    <phoneticPr fontId="3" type="noConversion"/>
  </si>
  <si>
    <t>Before-After P/L Chg</t>
    <phoneticPr fontId="3" type="noConversion"/>
  </si>
  <si>
    <t>Daily P/L Chg</t>
    <phoneticPr fontId="3" type="noConversion"/>
  </si>
  <si>
    <t>Type</t>
    <phoneticPr fontId="3" type="noConversion"/>
  </si>
  <si>
    <t>STR.No.</t>
    <phoneticPr fontId="3" type="noConversion"/>
  </si>
  <si>
    <t>Curr.</t>
    <phoneticPr fontId="3" type="noConversion"/>
  </si>
  <si>
    <r>
      <t>NT(10</t>
    </r>
    <r>
      <rPr>
        <sz val="9"/>
        <color theme="1"/>
        <rFont val="돋움"/>
        <family val="3"/>
        <charset val="129"/>
      </rPr>
      <t>만</t>
    </r>
    <r>
      <rPr>
        <sz val="9"/>
        <color theme="1"/>
        <rFont val="Arial Narrow"/>
        <family val="2"/>
      </rPr>
      <t>$)</t>
    </r>
    <phoneticPr fontId="3" type="noConversion"/>
  </si>
  <si>
    <t>Call Date</t>
    <phoneticPr fontId="3" type="noConversion"/>
  </si>
  <si>
    <t>Fixing Date</t>
    <phoneticPr fontId="3" type="noConversion"/>
  </si>
  <si>
    <t>Gapping Amt</t>
    <phoneticPr fontId="3" type="noConversion"/>
  </si>
  <si>
    <t>Payment CF</t>
    <phoneticPr fontId="3" type="noConversion"/>
  </si>
  <si>
    <t>Asset</t>
    <phoneticPr fontId="3" type="noConversion"/>
  </si>
  <si>
    <t>Liab.</t>
    <phoneticPr fontId="3" type="noConversion"/>
  </si>
  <si>
    <t>Sum</t>
    <phoneticPr fontId="3" type="noConversion"/>
  </si>
  <si>
    <t>Value@Call</t>
    <phoneticPr fontId="3" type="noConversion"/>
  </si>
  <si>
    <t>Carry to P/L</t>
    <phoneticPr fontId="3" type="noConversion"/>
  </si>
  <si>
    <t>Daily basis Rsv.</t>
    <phoneticPr fontId="3" type="noConversion"/>
  </si>
  <si>
    <t>CF</t>
    <phoneticPr fontId="3" type="noConversion"/>
  </si>
  <si>
    <t>(CF+MTM) Chg.</t>
    <phoneticPr fontId="3" type="noConversion"/>
  </si>
  <si>
    <t>Carry($)</t>
    <phoneticPr fontId="3" type="noConversion"/>
  </si>
  <si>
    <t>SP388/SP389</t>
  </si>
  <si>
    <t>USD</t>
    <phoneticPr fontId="3" type="noConversion"/>
  </si>
  <si>
    <t>SP402/SP403</t>
  </si>
  <si>
    <t>SP405/SP406</t>
  </si>
  <si>
    <t>SP408/SP409</t>
  </si>
  <si>
    <t>SP414/SP415</t>
  </si>
  <si>
    <t>SP417/SP418</t>
  </si>
  <si>
    <t>SP420/SP421</t>
  </si>
  <si>
    <t>SP429/SP430</t>
  </si>
  <si>
    <t>SP432/SP433</t>
  </si>
  <si>
    <t>SP451/SP452</t>
  </si>
  <si>
    <t>SP472/SP473</t>
  </si>
  <si>
    <t>SP574/SP575</t>
  </si>
  <si>
    <t>USD</t>
  </si>
  <si>
    <t>SP577/SP578</t>
  </si>
  <si>
    <t>SP580/SP581</t>
  </si>
  <si>
    <t>SP587/SP588</t>
  </si>
  <si>
    <t>SP349/SP350</t>
  </si>
  <si>
    <t>SP354/SP355</t>
  </si>
  <si>
    <t>SP357/SP358</t>
  </si>
  <si>
    <t>SP360/SP361</t>
  </si>
  <si>
    <t>SP376/SP377</t>
  </si>
  <si>
    <t>SP379/SP380</t>
  </si>
  <si>
    <t>SP599/SP600</t>
  </si>
  <si>
    <t>SP603/SP604</t>
  </si>
  <si>
    <t>SP611/SP612</t>
  </si>
  <si>
    <t>SP614/SP615</t>
  </si>
  <si>
    <t>SP620/SP621</t>
  </si>
  <si>
    <t>SP626/SP627</t>
  </si>
  <si>
    <t>SP629/SP630</t>
  </si>
  <si>
    <t>SP640/SP641</t>
  </si>
  <si>
    <t>SP652/SP653</t>
  </si>
  <si>
    <t>SP688/SP689</t>
  </si>
  <si>
    <t>SP700/SP701</t>
  </si>
  <si>
    <t>$ UCMS/T10 R.A</t>
    <phoneticPr fontId="3" type="noConversion"/>
  </si>
  <si>
    <t>$캐리스왑 MTM</t>
    <phoneticPr fontId="3" type="noConversion"/>
  </si>
  <si>
    <t>MTM Chg.</t>
    <phoneticPr fontId="3" type="noConversion"/>
  </si>
  <si>
    <t>CF</t>
  </si>
  <si>
    <t>MTM Chg.</t>
  </si>
  <si>
    <t>Carry($)</t>
  </si>
  <si>
    <t>SP454/SP455</t>
  </si>
  <si>
    <t>SP457/SP458</t>
  </si>
  <si>
    <t>SP466/SP467</t>
  </si>
  <si>
    <t>SP469/SP470</t>
  </si>
  <si>
    <t>SP475/SP476</t>
  </si>
  <si>
    <t>SP482/SP483</t>
  </si>
  <si>
    <t>SP496/SP497</t>
  </si>
  <si>
    <t>SP523/SP524</t>
  </si>
  <si>
    <t>SP530/SP531</t>
  </si>
  <si>
    <t>SP540/SP541</t>
  </si>
  <si>
    <t>SP544/SP545</t>
  </si>
  <si>
    <t>SP547/SP548</t>
  </si>
  <si>
    <t>SP551/SP552</t>
  </si>
  <si>
    <t>SP557/SP558</t>
  </si>
  <si>
    <t>SP565/SP566</t>
  </si>
  <si>
    <t>SP571/SP572</t>
  </si>
  <si>
    <t>SP608/SP609</t>
  </si>
  <si>
    <t>SP632/SP633</t>
  </si>
  <si>
    <t>SP636/SP637</t>
  </si>
  <si>
    <t>SP691/SP692</t>
  </si>
  <si>
    <t>$ KCMT10-3</t>
  </si>
  <si>
    <t>SP438/SP439</t>
  </si>
  <si>
    <t>SP440/SP441</t>
  </si>
  <si>
    <t>(Won) Zero-Coupon</t>
    <phoneticPr fontId="3" type="noConversion"/>
  </si>
  <si>
    <r>
      <t>NTNL(</t>
    </r>
    <r>
      <rPr>
        <sz val="9"/>
        <color theme="1"/>
        <rFont val="돋움"/>
        <family val="3"/>
        <charset val="129"/>
      </rPr>
      <t>억</t>
    </r>
    <r>
      <rPr>
        <sz val="9"/>
        <color theme="1"/>
        <rFont val="Arial Narrow"/>
        <family val="2"/>
      </rPr>
      <t>)</t>
    </r>
    <phoneticPr fontId="3" type="noConversion"/>
  </si>
  <si>
    <t>Daily Carry</t>
    <phoneticPr fontId="3" type="noConversion"/>
  </si>
  <si>
    <t>SP593/SP594</t>
  </si>
  <si>
    <t>KRW</t>
    <phoneticPr fontId="3" type="noConversion"/>
  </si>
  <si>
    <t>SP596/SP597</t>
  </si>
  <si>
    <t>KRW</t>
  </si>
  <si>
    <t>SP617/SP618</t>
  </si>
  <si>
    <t>SP655/SP656</t>
  </si>
  <si>
    <t>SP658/SP659</t>
  </si>
  <si>
    <t>SP694/SP695</t>
  </si>
  <si>
    <t>SP703/SP704</t>
  </si>
  <si>
    <t>SP706/SP707</t>
  </si>
  <si>
    <t>SP712/SP713</t>
  </si>
  <si>
    <t>SP718/SP719</t>
  </si>
  <si>
    <t>SP724/SP725</t>
  </si>
  <si>
    <t>유효일전</t>
  </si>
  <si>
    <t/>
  </si>
  <si>
    <t>캐리스왑 MTM</t>
    <phoneticPr fontId="3" type="noConversion"/>
  </si>
  <si>
    <t>KCMT10-3</t>
    <phoneticPr fontId="3" type="noConversion"/>
  </si>
  <si>
    <t>P/L Chg</t>
    <phoneticPr fontId="3" type="noConversion"/>
  </si>
  <si>
    <t>SP372/SP373</t>
  </si>
  <si>
    <t>SP382/SP383</t>
  </si>
  <si>
    <t>SP386/SP387</t>
  </si>
  <si>
    <t>SP478/SP479</t>
  </si>
  <si>
    <t>SP493/SP494</t>
  </si>
  <si>
    <t>SP499/SP500</t>
  </si>
  <si>
    <t>SP506/SP507</t>
  </si>
  <si>
    <t>SP518/SP519</t>
  </si>
  <si>
    <t>SP527/SP528</t>
  </si>
  <si>
    <t>SP326/SP333</t>
  </si>
  <si>
    <t>SP536/SP537</t>
  </si>
  <si>
    <t>SP584/SP585</t>
  </si>
  <si>
    <t>SP663/SP664</t>
  </si>
  <si>
    <t>SP667/SP668</t>
  </si>
  <si>
    <t>SP672/SP673</t>
  </si>
  <si>
    <t>SP680/SP681</t>
  </si>
  <si>
    <t>SP685/SP686</t>
  </si>
  <si>
    <t>SP697/SP698</t>
  </si>
  <si>
    <t>SP721/SP722</t>
  </si>
  <si>
    <t>UCMS30-2</t>
  </si>
  <si>
    <t>VL upto 2025Y</t>
    <phoneticPr fontId="3" type="noConversion"/>
  </si>
  <si>
    <t>Daily P/L</t>
    <phoneticPr fontId="3" type="noConversion"/>
  </si>
  <si>
    <t>Daily P/L</t>
  </si>
  <si>
    <t>Call</t>
    <phoneticPr fontId="3" type="noConversion"/>
  </si>
  <si>
    <t>SP117/SP118</t>
  </si>
  <si>
    <t>Fixed</t>
  </si>
  <si>
    <t>CD-KTB Power</t>
    <phoneticPr fontId="3" type="noConversion"/>
  </si>
  <si>
    <t>Payoff Estimation</t>
  </si>
  <si>
    <t>Valuation (upto CallDate)</t>
    <phoneticPr fontId="3" type="noConversion"/>
  </si>
  <si>
    <t>MTM Chg.(Week)</t>
    <phoneticPr fontId="3" type="noConversion"/>
  </si>
  <si>
    <t>Nov</t>
    <phoneticPr fontId="3" type="noConversion"/>
  </si>
  <si>
    <t>SP175/SP176</t>
  </si>
  <si>
    <t>Re</t>
    <phoneticPr fontId="3" type="noConversion"/>
  </si>
  <si>
    <t>SP367/SP368</t>
  </si>
  <si>
    <t>Re</t>
  </si>
  <si>
    <t>SP521/SP522</t>
  </si>
  <si>
    <t>SP384/SP385</t>
  </si>
  <si>
    <t>SP399/SP400</t>
  </si>
  <si>
    <t>SP411/SP412</t>
  </si>
  <si>
    <t>SP141/SP142</t>
  </si>
  <si>
    <t>SP150/SP151_New</t>
  </si>
  <si>
    <t>SP446/SP447</t>
  </si>
  <si>
    <t>SP448/SP449</t>
  </si>
  <si>
    <t>SP509/SP510</t>
  </si>
  <si>
    <t>SP512/SP513</t>
  </si>
  <si>
    <t>SP345/SP346</t>
  </si>
  <si>
    <t>SP90/SP91</t>
  </si>
  <si>
    <t>SP95/SP96</t>
  </si>
  <si>
    <t>SP352/SP353</t>
  </si>
  <si>
    <t>SP173/SP174</t>
  </si>
  <si>
    <t>SP169/SP170</t>
  </si>
  <si>
    <t>CD-KTB R.A</t>
    <phoneticPr fontId="3" type="noConversion"/>
  </si>
  <si>
    <t>MTM Chg</t>
    <phoneticPr fontId="3" type="noConversion"/>
  </si>
  <si>
    <t>SP205/SP661</t>
  </si>
  <si>
    <t>SP246/SP247</t>
  </si>
  <si>
    <t>SP248/SP249</t>
  </si>
  <si>
    <t>SP256/SP257</t>
  </si>
  <si>
    <t>SP120/SP121</t>
  </si>
  <si>
    <t>SP240/SP241</t>
  </si>
  <si>
    <t>IRS1Y - CCS1Y</t>
    <phoneticPr fontId="3" type="noConversion"/>
  </si>
  <si>
    <t>SP99/SP100</t>
  </si>
  <si>
    <t>SP108/SP109</t>
  </si>
  <si>
    <t>SP113/SP114</t>
  </si>
  <si>
    <t>KCMS10-2</t>
    <phoneticPr fontId="3" type="noConversion"/>
  </si>
  <si>
    <t>SP161/SP162</t>
  </si>
  <si>
    <t>SP179/SP180</t>
  </si>
  <si>
    <t>별도관리 대상(tobe restruc)</t>
  </si>
  <si>
    <t>ROLL</t>
  </si>
  <si>
    <t>Type</t>
  </si>
  <si>
    <t>이전 기준일</t>
    <phoneticPr fontId="3" type="noConversion"/>
  </si>
  <si>
    <t>Daily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</si>
</sst>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0.0%"/>
    <numFmt numFmtId="178" formatCode="_-* #,##0.00_-;\-* #,##0.0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Arial Rounded MT Bold"/>
      <family val="2"/>
    </font>
    <font>
      <sz val="8"/>
      <name val="맑은 고딕"/>
      <family val="2"/>
      <charset val="129"/>
      <scheme val="minor"/>
    </font>
    <font>
      <sz val="11"/>
      <color theme="1"/>
      <name val="Arial Narrow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Arial Narrow"/>
      <family val="3"/>
    </font>
    <font>
      <sz val="9"/>
      <color theme="1"/>
      <name val="Arial Narrow"/>
      <family val="2"/>
    </font>
    <font>
      <sz val="9"/>
      <color theme="1"/>
      <name val="돋움"/>
      <family val="3"/>
      <charset val="129"/>
    </font>
    <font>
      <b/>
      <sz val="11"/>
      <color theme="1"/>
      <name val="Arial Narrow"/>
      <family val="2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0" applyNumberFormat="1" applyBorder="1">
      <alignment vertical="center"/>
    </xf>
    <xf numFmtId="0" fontId="0" fillId="0" borderId="0" xfId="0" quotePrefix="1">
      <alignment vertical="center"/>
    </xf>
    <xf numFmtId="0" fontId="4" fillId="0" borderId="1" xfId="0" applyFont="1" applyBorder="1" applyAlignment="1">
      <alignment horizontal="left" vertical="center"/>
    </xf>
    <xf numFmtId="176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14" fontId="0" fillId="0" borderId="0" xfId="0" applyNumberFormat="1">
      <alignment vertical="center"/>
    </xf>
    <xf numFmtId="41" fontId="0" fillId="0" borderId="0" xfId="1" applyFont="1" applyBorder="1">
      <alignment vertical="center"/>
    </xf>
    <xf numFmtId="0" fontId="5" fillId="0" borderId="0" xfId="0" applyFont="1">
      <alignment vertical="center"/>
    </xf>
    <xf numFmtId="41" fontId="0" fillId="0" borderId="1" xfId="1" applyFont="1" applyBorder="1">
      <alignment vertical="center"/>
    </xf>
    <xf numFmtId="43" fontId="0" fillId="0" borderId="0" xfId="0" quotePrefix="1" applyNumberFormat="1">
      <alignment vertical="center"/>
    </xf>
    <xf numFmtId="0" fontId="4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0" fontId="0" fillId="0" borderId="2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4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11" fillId="0" borderId="13" xfId="1" applyFont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14" fontId="0" fillId="0" borderId="12" xfId="0" applyNumberFormat="1" applyBorder="1">
      <alignment vertical="center"/>
    </xf>
    <xf numFmtId="176" fontId="12" fillId="0" borderId="12" xfId="1" applyNumberFormat="1" applyFont="1" applyBorder="1" applyAlignment="1">
      <alignment vertical="center"/>
    </xf>
    <xf numFmtId="176" fontId="12" fillId="0" borderId="14" xfId="1" applyNumberFormat="1" applyFont="1" applyBorder="1">
      <alignment vertical="center"/>
    </xf>
    <xf numFmtId="176" fontId="13" fillId="0" borderId="13" xfId="0" applyNumberFormat="1" applyFont="1" applyBorder="1">
      <alignment vertical="center"/>
    </xf>
    <xf numFmtId="176" fontId="14" fillId="0" borderId="11" xfId="1" applyNumberFormat="1" applyFont="1" applyBorder="1" applyAlignment="1">
      <alignment vertical="center"/>
    </xf>
    <xf numFmtId="176" fontId="15" fillId="0" borderId="13" xfId="0" applyNumberFormat="1" applyFont="1" applyBorder="1">
      <alignment vertical="center"/>
    </xf>
    <xf numFmtId="176" fontId="15" fillId="0" borderId="11" xfId="0" applyNumberFormat="1" applyFont="1" applyBorder="1">
      <alignment vertical="center"/>
    </xf>
    <xf numFmtId="176" fontId="12" fillId="0" borderId="12" xfId="0" applyNumberFormat="1" applyFont="1" applyBorder="1">
      <alignment vertical="center"/>
    </xf>
    <xf numFmtId="176" fontId="12" fillId="0" borderId="13" xfId="1" applyNumberFormat="1" applyFont="1" applyBorder="1" applyAlignment="1">
      <alignment vertical="center"/>
    </xf>
    <xf numFmtId="176" fontId="12" fillId="0" borderId="11" xfId="1" applyNumberFormat="1" applyFont="1" applyBorder="1" applyAlignment="1">
      <alignment vertical="center"/>
    </xf>
    <xf numFmtId="176" fontId="12" fillId="0" borderId="15" xfId="0" applyNumberFormat="1" applyFont="1" applyBorder="1">
      <alignment vertical="center"/>
    </xf>
    <xf numFmtId="176" fontId="12" fillId="0" borderId="13" xfId="0" applyNumberFormat="1" applyFont="1" applyBorder="1">
      <alignment vertical="center"/>
    </xf>
    <xf numFmtId="41" fontId="11" fillId="0" borderId="13" xfId="1" applyFont="1" applyFill="1" applyBorder="1" applyAlignment="1">
      <alignment horizontal="center" vertical="center"/>
    </xf>
    <xf numFmtId="176" fontId="12" fillId="0" borderId="12" xfId="1" applyNumberFormat="1" applyFont="1" applyFill="1" applyBorder="1" applyAlignment="1">
      <alignment vertical="center"/>
    </xf>
    <xf numFmtId="176" fontId="12" fillId="0" borderId="14" xfId="1" applyNumberFormat="1" applyFont="1" applyFill="1" applyBorder="1">
      <alignment vertical="center"/>
    </xf>
    <xf numFmtId="176" fontId="14" fillId="0" borderId="11" xfId="1" applyNumberFormat="1" applyFont="1" applyFill="1" applyBorder="1" applyAlignment="1">
      <alignment vertical="center"/>
    </xf>
    <xf numFmtId="176" fontId="12" fillId="0" borderId="13" xfId="1" applyNumberFormat="1" applyFont="1" applyFill="1" applyBorder="1" applyAlignment="1">
      <alignment vertical="center"/>
    </xf>
    <xf numFmtId="41" fontId="12" fillId="0" borderId="15" xfId="1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176" fontId="12" fillId="0" borderId="12" xfId="1" applyNumberFormat="1" applyFont="1" applyFill="1" applyBorder="1">
      <alignment vertical="center"/>
    </xf>
    <xf numFmtId="41" fontId="13" fillId="0" borderId="13" xfId="1" applyFont="1" applyFill="1" applyBorder="1" applyAlignment="1">
      <alignment vertical="center"/>
    </xf>
    <xf numFmtId="176" fontId="12" fillId="0" borderId="11" xfId="1" applyNumberFormat="1" applyFont="1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1" fontId="11" fillId="0" borderId="20" xfId="1" applyFont="1" applyFill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14" fontId="0" fillId="0" borderId="19" xfId="0" applyNumberFormat="1" applyBorder="1">
      <alignment vertical="center"/>
    </xf>
    <xf numFmtId="176" fontId="12" fillId="0" borderId="19" xfId="1" applyNumberFormat="1" applyFont="1" applyFill="1" applyBorder="1" applyAlignment="1">
      <alignment vertical="center"/>
    </xf>
    <xf numFmtId="176" fontId="12" fillId="0" borderId="19" xfId="1" applyNumberFormat="1" applyFont="1" applyFill="1" applyBorder="1">
      <alignment vertical="center"/>
    </xf>
    <xf numFmtId="41" fontId="13" fillId="0" borderId="20" xfId="1" applyFont="1" applyFill="1" applyBorder="1" applyAlignment="1">
      <alignment vertical="center"/>
    </xf>
    <xf numFmtId="176" fontId="14" fillId="0" borderId="18" xfId="1" applyNumberFormat="1" applyFont="1" applyFill="1" applyBorder="1" applyAlignment="1">
      <alignment vertical="center"/>
    </xf>
    <xf numFmtId="176" fontId="15" fillId="0" borderId="20" xfId="0" applyNumberFormat="1" applyFont="1" applyBorder="1">
      <alignment vertical="center"/>
    </xf>
    <xf numFmtId="176" fontId="15" fillId="0" borderId="18" xfId="0" applyNumberFormat="1" applyFont="1" applyBorder="1">
      <alignment vertical="center"/>
    </xf>
    <xf numFmtId="176" fontId="12" fillId="0" borderId="19" xfId="0" applyNumberFormat="1" applyFont="1" applyBorder="1">
      <alignment vertical="center"/>
    </xf>
    <xf numFmtId="176" fontId="12" fillId="0" borderId="20" xfId="1" applyNumberFormat="1" applyFont="1" applyFill="1" applyBorder="1" applyAlignment="1">
      <alignment vertical="center"/>
    </xf>
    <xf numFmtId="176" fontId="12" fillId="0" borderId="18" xfId="1" applyNumberFormat="1" applyFont="1" applyFill="1" applyBorder="1" applyAlignment="1">
      <alignment vertical="center"/>
    </xf>
    <xf numFmtId="176" fontId="12" fillId="0" borderId="21" xfId="0" applyNumberFormat="1" applyFont="1" applyBorder="1">
      <alignment vertical="center"/>
    </xf>
    <xf numFmtId="176" fontId="12" fillId="0" borderId="20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41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76" fontId="12" fillId="0" borderId="0" xfId="1" applyNumberFormat="1" applyFont="1" applyBorder="1" applyAlignment="1">
      <alignment vertical="center"/>
    </xf>
    <xf numFmtId="176" fontId="14" fillId="0" borderId="0" xfId="1" applyNumberFormat="1" applyFont="1" applyBorder="1" applyAlignment="1">
      <alignment vertical="center"/>
    </xf>
    <xf numFmtId="43" fontId="11" fillId="0" borderId="0" xfId="2" applyNumberFormat="1" applyFont="1" applyBorder="1" applyAlignment="1">
      <alignment horizontal="center" vertical="center"/>
    </xf>
    <xf numFmtId="41" fontId="11" fillId="0" borderId="1" xfId="0" applyNumberFormat="1" applyFont="1" applyBorder="1" applyAlignment="1">
      <alignment horizontal="center" vertical="center"/>
    </xf>
    <xf numFmtId="41" fontId="0" fillId="0" borderId="1" xfId="1" applyFont="1" applyFill="1" applyBorder="1">
      <alignment vertical="center"/>
    </xf>
    <xf numFmtId="41" fontId="0" fillId="0" borderId="0" xfId="1" applyFont="1" applyFill="1" applyBorder="1">
      <alignment vertical="center"/>
    </xf>
    <xf numFmtId="176" fontId="12" fillId="0" borderId="22" xfId="1" applyNumberFormat="1" applyFont="1" applyFill="1" applyBorder="1" applyAlignment="1">
      <alignment vertical="center"/>
    </xf>
    <xf numFmtId="176" fontId="12" fillId="0" borderId="23" xfId="1" applyNumberFormat="1" applyFont="1" applyFill="1" applyBorder="1">
      <alignment vertical="center"/>
    </xf>
    <xf numFmtId="176" fontId="13" fillId="0" borderId="20" xfId="0" applyNumberFormat="1" applyFont="1" applyBorder="1">
      <alignment vertical="center"/>
    </xf>
    <xf numFmtId="176" fontId="15" fillId="0" borderId="0" xfId="0" applyNumberFormat="1" applyFont="1">
      <alignment vertical="center"/>
    </xf>
    <xf numFmtId="176" fontId="13" fillId="0" borderId="0" xfId="0" applyNumberFormat="1" applyFont="1">
      <alignment vertical="center"/>
    </xf>
    <xf numFmtId="10" fontId="15" fillId="0" borderId="0" xfId="2" applyNumberFormat="1" applyFont="1" applyBorder="1" applyAlignment="1">
      <alignment vertical="center"/>
    </xf>
    <xf numFmtId="41" fontId="12" fillId="0" borderId="1" xfId="1" applyFont="1" applyFill="1" applyBorder="1">
      <alignment vertical="center"/>
    </xf>
    <xf numFmtId="10" fontId="12" fillId="0" borderId="0" xfId="2" applyNumberFormat="1" applyFont="1" applyFill="1" applyBorder="1">
      <alignment vertical="center"/>
    </xf>
    <xf numFmtId="41" fontId="12" fillId="0" borderId="0" xfId="1" applyFont="1" applyFill="1" applyBorder="1">
      <alignment vertical="center"/>
    </xf>
    <xf numFmtId="176" fontId="12" fillId="0" borderId="22" xfId="1" applyNumberFormat="1" applyFont="1" applyBorder="1" applyAlignment="1">
      <alignment vertical="center"/>
    </xf>
    <xf numFmtId="176" fontId="12" fillId="0" borderId="24" xfId="0" applyNumberFormat="1" applyFont="1" applyBorder="1">
      <alignment vertical="center"/>
    </xf>
    <xf numFmtId="41" fontId="12" fillId="0" borderId="25" xfId="1" applyFont="1" applyFill="1" applyBorder="1" applyAlignment="1">
      <alignment vertical="center"/>
    </xf>
    <xf numFmtId="41" fontId="11" fillId="0" borderId="20" xfId="1" applyFont="1" applyBorder="1" applyAlignment="1">
      <alignment horizontal="center" vertical="center"/>
    </xf>
    <xf numFmtId="176" fontId="12" fillId="0" borderId="19" xfId="1" applyNumberFormat="1" applyFont="1" applyBorder="1" applyAlignment="1">
      <alignment vertical="center"/>
    </xf>
    <xf numFmtId="176" fontId="12" fillId="0" borderId="19" xfId="1" applyNumberFormat="1" applyFont="1" applyBorder="1">
      <alignment vertical="center"/>
    </xf>
    <xf numFmtId="176" fontId="14" fillId="0" borderId="18" xfId="1" applyNumberFormat="1" applyFont="1" applyBorder="1" applyAlignment="1">
      <alignment vertical="center"/>
    </xf>
    <xf numFmtId="176" fontId="12" fillId="0" borderId="20" xfId="1" applyNumberFormat="1" applyFont="1" applyBorder="1" applyAlignment="1">
      <alignment vertical="center"/>
    </xf>
    <xf numFmtId="176" fontId="12" fillId="0" borderId="18" xfId="1" applyNumberFormat="1" applyFont="1" applyBorder="1" applyAlignment="1">
      <alignment vertical="center"/>
    </xf>
    <xf numFmtId="177" fontId="15" fillId="0" borderId="0" xfId="2" applyNumberFormat="1" applyFont="1" applyBorder="1" applyAlignment="1">
      <alignment vertical="center"/>
    </xf>
    <xf numFmtId="177" fontId="12" fillId="0" borderId="0" xfId="2" applyNumberFormat="1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1" fontId="11" fillId="0" borderId="27" xfId="1" applyFont="1" applyBorder="1" applyAlignment="1">
      <alignment horizontal="center" vertical="center"/>
    </xf>
    <xf numFmtId="14" fontId="11" fillId="0" borderId="22" xfId="0" applyNumberFormat="1" applyFont="1" applyBorder="1" applyAlignment="1">
      <alignment horizontal="center" vertical="center"/>
    </xf>
    <xf numFmtId="14" fontId="0" fillId="0" borderId="26" xfId="0" applyNumberFormat="1" applyBorder="1">
      <alignment vertical="center"/>
    </xf>
    <xf numFmtId="176" fontId="12" fillId="0" borderId="26" xfId="1" applyNumberFormat="1" applyFont="1" applyBorder="1" applyAlignment="1">
      <alignment vertical="center"/>
    </xf>
    <xf numFmtId="176" fontId="12" fillId="0" borderId="26" xfId="1" applyNumberFormat="1" applyFont="1" applyBorder="1">
      <alignment vertical="center"/>
    </xf>
    <xf numFmtId="176" fontId="13" fillId="0" borderId="25" xfId="0" applyNumberFormat="1" applyFont="1" applyBorder="1">
      <alignment vertical="center"/>
    </xf>
    <xf numFmtId="176" fontId="14" fillId="0" borderId="22" xfId="1" applyNumberFormat="1" applyFont="1" applyBorder="1" applyAlignment="1">
      <alignment vertical="center"/>
    </xf>
    <xf numFmtId="176" fontId="15" fillId="0" borderId="25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2" fillId="0" borderId="26" xfId="0" applyNumberFormat="1" applyFont="1" applyBorder="1">
      <alignment vertical="center"/>
    </xf>
    <xf numFmtId="176" fontId="12" fillId="0" borderId="25" xfId="1" applyNumberFormat="1" applyFont="1" applyBorder="1" applyAlignment="1">
      <alignment vertical="center"/>
    </xf>
    <xf numFmtId="176" fontId="12" fillId="0" borderId="24" xfId="1" applyNumberFormat="1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176" fontId="12" fillId="0" borderId="23" xfId="1" applyNumberFormat="1" applyFont="1" applyBorder="1">
      <alignment vertical="center"/>
    </xf>
    <xf numFmtId="176" fontId="12" fillId="0" borderId="28" xfId="1" applyNumberFormat="1" applyFont="1" applyBorder="1" applyAlignment="1">
      <alignment vertical="center"/>
    </xf>
    <xf numFmtId="10" fontId="0" fillId="0" borderId="0" xfId="2" applyNumberFormat="1" applyFont="1">
      <alignment vertical="center"/>
    </xf>
    <xf numFmtId="41" fontId="12" fillId="0" borderId="12" xfId="1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11" fillId="0" borderId="9" xfId="1" applyFont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0" fillId="0" borderId="8" xfId="0" applyNumberFormat="1" applyBorder="1">
      <alignment vertical="center"/>
    </xf>
    <xf numFmtId="176" fontId="12" fillId="0" borderId="8" xfId="1" applyNumberFormat="1" applyFont="1" applyBorder="1" applyAlignment="1">
      <alignment vertical="center"/>
    </xf>
    <xf numFmtId="176" fontId="12" fillId="0" borderId="10" xfId="1" applyNumberFormat="1" applyFont="1" applyBorder="1">
      <alignment vertical="center"/>
    </xf>
    <xf numFmtId="176" fontId="13" fillId="0" borderId="9" xfId="0" applyNumberFormat="1" applyFont="1" applyBorder="1">
      <alignment vertical="center"/>
    </xf>
    <xf numFmtId="176" fontId="14" fillId="0" borderId="7" xfId="1" applyNumberFormat="1" applyFont="1" applyBorder="1" applyAlignment="1">
      <alignment vertical="center"/>
    </xf>
    <xf numFmtId="176" fontId="15" fillId="0" borderId="9" xfId="0" applyNumberFormat="1" applyFont="1" applyBorder="1">
      <alignment vertical="center"/>
    </xf>
    <xf numFmtId="176" fontId="15" fillId="0" borderId="7" xfId="0" applyNumberFormat="1" applyFont="1" applyBorder="1">
      <alignment vertical="center"/>
    </xf>
    <xf numFmtId="176" fontId="12" fillId="0" borderId="8" xfId="0" applyNumberFormat="1" applyFont="1" applyBorder="1">
      <alignment vertical="center"/>
    </xf>
    <xf numFmtId="176" fontId="12" fillId="0" borderId="9" xfId="1" applyNumberFormat="1" applyFont="1" applyBorder="1" applyAlignment="1">
      <alignment vertical="center"/>
    </xf>
    <xf numFmtId="176" fontId="12" fillId="0" borderId="7" xfId="1" applyNumberFormat="1" applyFont="1" applyBorder="1" applyAlignment="1">
      <alignment vertical="center"/>
    </xf>
    <xf numFmtId="176" fontId="12" fillId="0" borderId="4" xfId="0" applyNumberFormat="1" applyFont="1" applyBorder="1">
      <alignment vertical="center"/>
    </xf>
    <xf numFmtId="176" fontId="12" fillId="0" borderId="9" xfId="0" applyNumberFormat="1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12" fillId="0" borderId="12" xfId="1" applyNumberFormat="1" applyFont="1" applyBorder="1" applyAlignment="1">
      <alignment horizontal="right" vertical="center"/>
    </xf>
    <xf numFmtId="176" fontId="12" fillId="0" borderId="14" xfId="1" applyNumberFormat="1" applyFont="1" applyBorder="1" applyAlignment="1">
      <alignment horizontal="right" vertical="center"/>
    </xf>
    <xf numFmtId="176" fontId="16" fillId="0" borderId="13" xfId="0" applyNumberFormat="1" applyFont="1" applyBorder="1" applyAlignment="1">
      <alignment horizontal="right" vertical="center"/>
    </xf>
    <xf numFmtId="176" fontId="17" fillId="0" borderId="11" xfId="1" applyNumberFormat="1" applyFont="1" applyBorder="1" applyAlignment="1">
      <alignment horizontal="right" vertical="center"/>
    </xf>
    <xf numFmtId="176" fontId="15" fillId="0" borderId="13" xfId="0" applyNumberFormat="1" applyFont="1" applyBorder="1" applyAlignment="1">
      <alignment horizontal="right" vertical="center"/>
    </xf>
    <xf numFmtId="176" fontId="15" fillId="0" borderId="11" xfId="0" applyNumberFormat="1" applyFont="1" applyBorder="1" applyAlignment="1">
      <alignment horizontal="right" vertical="center"/>
    </xf>
    <xf numFmtId="176" fontId="12" fillId="0" borderId="12" xfId="0" applyNumberFormat="1" applyFont="1" applyBorder="1" applyAlignment="1">
      <alignment horizontal="right" vertical="center"/>
    </xf>
    <xf numFmtId="176" fontId="12" fillId="0" borderId="13" xfId="1" applyNumberFormat="1" applyFont="1" applyBorder="1" applyAlignment="1">
      <alignment horizontal="right" vertical="center"/>
    </xf>
    <xf numFmtId="176" fontId="12" fillId="0" borderId="22" xfId="1" applyNumberFormat="1" applyFont="1" applyBorder="1" applyAlignment="1">
      <alignment horizontal="right" vertical="center"/>
    </xf>
    <xf numFmtId="176" fontId="12" fillId="0" borderId="29" xfId="0" applyNumberFormat="1" applyFont="1" applyBorder="1" applyAlignment="1">
      <alignment horizontal="right" vertical="center"/>
    </xf>
    <xf numFmtId="176" fontId="12" fillId="0" borderId="30" xfId="0" applyNumberFormat="1" applyFont="1" applyBorder="1" applyAlignment="1">
      <alignment horizontal="right" vertical="center"/>
    </xf>
    <xf numFmtId="176" fontId="12" fillId="0" borderId="11" xfId="1" applyNumberFormat="1" applyFont="1" applyBorder="1" applyAlignment="1">
      <alignment horizontal="right" vertical="center"/>
    </xf>
    <xf numFmtId="176" fontId="12" fillId="0" borderId="15" xfId="0" applyNumberFormat="1" applyFont="1" applyBorder="1" applyAlignment="1">
      <alignment horizontal="right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41" fontId="11" fillId="2" borderId="13" xfId="1" applyFont="1" applyFill="1" applyBorder="1" applyAlignment="1">
      <alignment horizontal="center" vertical="center"/>
    </xf>
    <xf numFmtId="14" fontId="11" fillId="2" borderId="11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>
      <alignment vertical="center"/>
    </xf>
    <xf numFmtId="176" fontId="12" fillId="2" borderId="12" xfId="1" applyNumberFormat="1" applyFont="1" applyFill="1" applyBorder="1" applyAlignment="1">
      <alignment horizontal="right" vertical="center"/>
    </xf>
    <xf numFmtId="176" fontId="12" fillId="2" borderId="14" xfId="1" applyNumberFormat="1" applyFont="1" applyFill="1" applyBorder="1" applyAlignment="1">
      <alignment horizontal="right" vertical="center"/>
    </xf>
    <xf numFmtId="176" fontId="16" fillId="2" borderId="13" xfId="0" applyNumberFormat="1" applyFont="1" applyFill="1" applyBorder="1" applyAlignment="1">
      <alignment horizontal="right" vertical="center"/>
    </xf>
    <xf numFmtId="176" fontId="17" fillId="2" borderId="11" xfId="1" applyNumberFormat="1" applyFont="1" applyFill="1" applyBorder="1" applyAlignment="1">
      <alignment horizontal="right" vertical="center"/>
    </xf>
    <xf numFmtId="176" fontId="15" fillId="2" borderId="13" xfId="0" applyNumberFormat="1" applyFont="1" applyFill="1" applyBorder="1" applyAlignment="1">
      <alignment horizontal="right" vertical="center"/>
    </xf>
    <xf numFmtId="176" fontId="15" fillId="2" borderId="11" xfId="0" applyNumberFormat="1" applyFont="1" applyFill="1" applyBorder="1" applyAlignment="1">
      <alignment horizontal="right" vertical="center"/>
    </xf>
    <xf numFmtId="176" fontId="12" fillId="2" borderId="12" xfId="0" applyNumberFormat="1" applyFont="1" applyFill="1" applyBorder="1" applyAlignment="1">
      <alignment horizontal="right" vertical="center"/>
    </xf>
    <xf numFmtId="176" fontId="12" fillId="2" borderId="13" xfId="1" applyNumberFormat="1" applyFont="1" applyFill="1" applyBorder="1" applyAlignment="1">
      <alignment horizontal="right" vertical="center"/>
    </xf>
    <xf numFmtId="176" fontId="12" fillId="2" borderId="11" xfId="1" applyNumberFormat="1" applyFont="1" applyFill="1" applyBorder="1" applyAlignment="1">
      <alignment horizontal="right" vertical="center"/>
    </xf>
    <xf numFmtId="176" fontId="12" fillId="2" borderId="15" xfId="0" applyNumberFormat="1" applyFont="1" applyFill="1" applyBorder="1" applyAlignment="1">
      <alignment horizontal="right" vertical="center"/>
    </xf>
    <xf numFmtId="176" fontId="12" fillId="2" borderId="30" xfId="0" applyNumberFormat="1" applyFont="1" applyFill="1" applyBorder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176" fontId="16" fillId="0" borderId="13" xfId="0" applyNumberFormat="1" applyFont="1" applyBorder="1">
      <alignment vertical="center"/>
    </xf>
    <xf numFmtId="176" fontId="18" fillId="0" borderId="13" xfId="0" applyNumberFormat="1" applyFont="1" applyBorder="1">
      <alignment vertical="center"/>
    </xf>
    <xf numFmtId="176" fontId="18" fillId="0" borderId="11" xfId="0" applyNumberFormat="1" applyFont="1" applyBorder="1">
      <alignment vertical="center"/>
    </xf>
    <xf numFmtId="176" fontId="16" fillId="0" borderId="20" xfId="0" applyNumberFormat="1" applyFont="1" applyBorder="1">
      <alignment vertical="center"/>
    </xf>
    <xf numFmtId="176" fontId="18" fillId="0" borderId="20" xfId="0" applyNumberFormat="1" applyFont="1" applyBorder="1">
      <alignment vertical="center"/>
    </xf>
    <xf numFmtId="176" fontId="18" fillId="0" borderId="18" xfId="0" applyNumberFormat="1" applyFont="1" applyBorder="1">
      <alignment vertical="center"/>
    </xf>
    <xf numFmtId="176" fontId="12" fillId="0" borderId="0" xfId="0" applyNumberFormat="1" applyFont="1" applyAlignment="1">
      <alignment horizontal="right" vertical="center"/>
    </xf>
    <xf numFmtId="176" fontId="17" fillId="0" borderId="0" xfId="0" applyNumberFormat="1" applyFont="1" applyAlignment="1">
      <alignment horizontal="right" vertical="center"/>
    </xf>
    <xf numFmtId="0" fontId="6" fillId="0" borderId="5" xfId="0" applyFont="1" applyBorder="1">
      <alignment vertical="center"/>
    </xf>
    <xf numFmtId="176" fontId="13" fillId="0" borderId="13" xfId="0" applyNumberFormat="1" applyFont="1" applyBorder="1" applyAlignment="1">
      <alignment horizontal="right" vertical="center"/>
    </xf>
    <xf numFmtId="176" fontId="14" fillId="0" borderId="11" xfId="1" applyNumberFormat="1" applyFont="1" applyBorder="1" applyAlignment="1">
      <alignment horizontal="right" vertical="center"/>
    </xf>
    <xf numFmtId="176" fontId="12" fillId="0" borderId="26" xfId="0" applyNumberFormat="1" applyFont="1" applyBorder="1" applyAlignment="1">
      <alignment horizontal="right" vertical="center"/>
    </xf>
    <xf numFmtId="176" fontId="12" fillId="3" borderId="26" xfId="0" applyNumberFormat="1" applyFont="1" applyFill="1" applyBorder="1" applyAlignment="1">
      <alignment horizontal="right" vertical="center"/>
    </xf>
    <xf numFmtId="176" fontId="12" fillId="0" borderId="17" xfId="1" applyNumberFormat="1" applyFont="1" applyBorder="1" applyAlignment="1">
      <alignment horizontal="right" vertical="center"/>
    </xf>
    <xf numFmtId="176" fontId="12" fillId="0" borderId="13" xfId="0" applyNumberFormat="1" applyFont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176" fontId="12" fillId="0" borderId="19" xfId="1" applyNumberFormat="1" applyFont="1" applyBorder="1" applyAlignment="1">
      <alignment horizontal="right" vertical="center"/>
    </xf>
    <xf numFmtId="176" fontId="13" fillId="0" borderId="20" xfId="0" applyNumberFormat="1" applyFont="1" applyBorder="1" applyAlignment="1">
      <alignment horizontal="right" vertical="center"/>
    </xf>
    <xf numFmtId="176" fontId="14" fillId="0" borderId="18" xfId="1" applyNumberFormat="1" applyFont="1" applyBorder="1" applyAlignment="1">
      <alignment horizontal="right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right" vertical="center"/>
    </xf>
    <xf numFmtId="176" fontId="12" fillId="0" borderId="19" xfId="0" applyNumberFormat="1" applyFont="1" applyBorder="1" applyAlignment="1">
      <alignment horizontal="right" vertical="center"/>
    </xf>
    <xf numFmtId="176" fontId="12" fillId="0" borderId="20" xfId="1" applyNumberFormat="1" applyFont="1" applyBorder="1" applyAlignment="1">
      <alignment horizontal="right" vertical="center"/>
    </xf>
    <xf numFmtId="176" fontId="12" fillId="0" borderId="18" xfId="1" applyNumberFormat="1" applyFont="1" applyBorder="1" applyAlignment="1">
      <alignment horizontal="right" vertical="center"/>
    </xf>
    <xf numFmtId="176" fontId="12" fillId="0" borderId="31" xfId="0" applyNumberFormat="1" applyFont="1" applyBorder="1" applyAlignment="1">
      <alignment horizontal="right" vertical="center"/>
    </xf>
    <xf numFmtId="176" fontId="12" fillId="0" borderId="0" xfId="1" applyNumberFormat="1" applyFont="1" applyBorder="1" applyAlignment="1">
      <alignment horizontal="right" vertical="center"/>
    </xf>
    <xf numFmtId="176" fontId="14" fillId="0" borderId="0" xfId="1" applyNumberFormat="1" applyFont="1" applyBorder="1" applyAlignment="1">
      <alignment horizontal="right" vertical="center"/>
    </xf>
    <xf numFmtId="176" fontId="12" fillId="0" borderId="21" xfId="0" applyNumberFormat="1" applyFont="1" applyBorder="1" applyAlignment="1">
      <alignment horizontal="right" vertical="center"/>
    </xf>
    <xf numFmtId="176" fontId="12" fillId="0" borderId="20" xfId="0" applyNumberFormat="1" applyFont="1" applyBorder="1" applyAlignment="1">
      <alignment horizontal="right" vertical="center"/>
    </xf>
    <xf numFmtId="176" fontId="15" fillId="0" borderId="0" xfId="0" applyNumberFormat="1" applyFont="1" applyAlignment="1">
      <alignment horizontal="right" vertical="center"/>
    </xf>
    <xf numFmtId="176" fontId="13" fillId="0" borderId="0" xfId="0" applyNumberFormat="1" applyFont="1" applyAlignment="1">
      <alignment horizontal="right" vertical="center"/>
    </xf>
    <xf numFmtId="176" fontId="12" fillId="0" borderId="30" xfId="0" applyNumberFormat="1" applyFont="1" applyBorder="1">
      <alignment vertical="center"/>
    </xf>
    <xf numFmtId="41" fontId="11" fillId="0" borderId="0" xfId="1" applyFont="1" applyBorder="1" applyAlignment="1">
      <alignment horizontal="center" vertical="center"/>
    </xf>
    <xf numFmtId="176" fontId="12" fillId="0" borderId="0" xfId="1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28" xfId="0" applyBorder="1">
      <alignment vertical="center"/>
    </xf>
    <xf numFmtId="14" fontId="0" fillId="0" borderId="0" xfId="0" applyNumberFormat="1" applyAlignment="1">
      <alignment horizontal="left" vertical="center"/>
    </xf>
    <xf numFmtId="178" fontId="0" fillId="0" borderId="0" xfId="0" applyNumberFormat="1">
      <alignment vertical="center"/>
    </xf>
    <xf numFmtId="41" fontId="0" fillId="3" borderId="0" xfId="1" applyFont="1" applyFill="1">
      <alignment vertical="center"/>
    </xf>
    <xf numFmtId="41" fontId="0" fillId="3" borderId="0" xfId="0" applyNumberFormat="1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8"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  <dxf>
      <fill>
        <patternFill>
          <bgColor rgb="FFDFFA40"/>
        </patternFill>
      </fill>
    </dxf>
    <dxf>
      <fill>
        <patternFill>
          <bgColor rgb="FFEFFDFF"/>
        </patternFill>
      </fill>
    </dxf>
    <dxf>
      <fill>
        <patternFill>
          <bgColor rgb="FFEEC6FE"/>
        </patternFill>
      </fill>
    </dxf>
    <dxf>
      <fill>
        <patternFill>
          <bgColor rgb="FFBBD3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FC83-CCDB-45E2-8471-390F69B0E48A}">
  <dimension ref="A1:U201"/>
  <sheetViews>
    <sheetView showGridLines="0" tabSelected="1" zoomScale="70" zoomScaleNormal="70" workbookViewId="0">
      <selection activeCell="A3" sqref="A3"/>
    </sheetView>
  </sheetViews>
  <sheetFormatPr defaultRowHeight="16.5" x14ac:dyDescent="0.3"/>
  <cols>
    <col min="1" max="1" width="5.875" bestFit="1" customWidth="1"/>
    <col min="2" max="2" width="26.375" bestFit="1" customWidth="1"/>
    <col min="3" max="3" width="5.5" bestFit="1" customWidth="1"/>
    <col min="4" max="4" width="7.375" bestFit="1" customWidth="1"/>
    <col min="5" max="5" width="14.75" bestFit="1" customWidth="1"/>
    <col min="6" max="6" width="15.625" bestFit="1" customWidth="1"/>
    <col min="7" max="7" width="16.875" bestFit="1" customWidth="1"/>
    <col min="8" max="8" width="17.625" bestFit="1" customWidth="1"/>
    <col min="9" max="9" width="17" bestFit="1" customWidth="1"/>
    <col min="10" max="10" width="17.75" bestFit="1" customWidth="1"/>
    <col min="11" max="12" width="16.375" bestFit="1" customWidth="1"/>
    <col min="13" max="13" width="17.625" bestFit="1" customWidth="1"/>
    <col min="14" max="14" width="24.125" bestFit="1" customWidth="1"/>
    <col min="15" max="15" width="22" bestFit="1" customWidth="1"/>
    <col min="16" max="16" width="14.625" bestFit="1" customWidth="1"/>
    <col min="17" max="17" width="17.375" bestFit="1" customWidth="1"/>
    <col min="18" max="18" width="16.875" bestFit="1" customWidth="1"/>
    <col min="19" max="19" width="13.625" customWidth="1"/>
    <col min="20" max="20" width="14.25" bestFit="1" customWidth="1"/>
    <col min="21" max="21" width="20.625" bestFit="1" customWidth="1"/>
  </cols>
  <sheetData>
    <row r="1" spans="1:21" ht="1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</row>
    <row r="2" spans="1:21" x14ac:dyDescent="0.3">
      <c r="E2" s="3" t="s">
        <v>1</v>
      </c>
      <c r="F2" s="4">
        <v>16700</v>
      </c>
      <c r="G2" s="5"/>
      <c r="H2" s="5"/>
      <c r="M2" s="6" t="s">
        <v>2</v>
      </c>
      <c r="N2" s="7">
        <v>2147533808.2311049</v>
      </c>
      <c r="Q2" s="6" t="s">
        <v>3</v>
      </c>
      <c r="R2" s="8">
        <v>46009</v>
      </c>
      <c r="S2" s="9"/>
      <c r="T2" s="9"/>
      <c r="U2" s="10"/>
    </row>
    <row r="3" spans="1:21" x14ac:dyDescent="0.3">
      <c r="B3" s="11"/>
      <c r="E3" s="3" t="s">
        <v>4</v>
      </c>
      <c r="F3" s="12">
        <v>20583.77</v>
      </c>
      <c r="G3" s="13"/>
      <c r="M3" s="6" t="s">
        <v>5</v>
      </c>
      <c r="N3" s="7">
        <v>29550243.835616443</v>
      </c>
      <c r="Q3" s="6" t="s">
        <v>6</v>
      </c>
      <c r="R3" s="8">
        <v>46013</v>
      </c>
      <c r="S3" s="9"/>
      <c r="T3" s="9"/>
      <c r="U3" s="10"/>
    </row>
    <row r="4" spans="1:21" x14ac:dyDescent="0.3">
      <c r="B4" s="11"/>
      <c r="F4" s="10"/>
      <c r="G4" s="13"/>
      <c r="M4" s="14"/>
      <c r="N4" s="15"/>
      <c r="Q4" s="14"/>
      <c r="R4" s="9"/>
      <c r="S4" s="9"/>
      <c r="T4" s="9"/>
      <c r="U4" s="9"/>
    </row>
    <row r="5" spans="1:21" x14ac:dyDescent="0.3">
      <c r="B5" s="11" t="s">
        <v>7</v>
      </c>
      <c r="E5" s="3" t="s">
        <v>8</v>
      </c>
      <c r="F5" s="16">
        <v>4.4212666666666678E-2</v>
      </c>
      <c r="G5" s="17"/>
      <c r="H5" s="18"/>
      <c r="K5" s="17"/>
      <c r="L5" s="17"/>
    </row>
    <row r="6" spans="1:21" x14ac:dyDescent="0.3">
      <c r="A6" s="19" t="s">
        <v>9</v>
      </c>
      <c r="B6" s="20" t="s">
        <v>10</v>
      </c>
      <c r="C6" s="20"/>
      <c r="D6" s="20"/>
      <c r="E6" s="21"/>
      <c r="F6" s="21"/>
      <c r="G6" s="22" t="s">
        <v>11</v>
      </c>
      <c r="H6" s="23"/>
      <c r="I6" s="24"/>
      <c r="J6" s="20" t="s">
        <v>12</v>
      </c>
      <c r="K6" s="20"/>
      <c r="L6" s="20"/>
      <c r="M6" s="20" t="s">
        <v>13</v>
      </c>
      <c r="N6" s="20"/>
      <c r="O6" s="20"/>
      <c r="P6" s="22" t="s">
        <v>14</v>
      </c>
      <c r="Q6" s="23"/>
      <c r="R6" s="24"/>
      <c r="S6" s="22" t="s">
        <v>15</v>
      </c>
      <c r="T6" s="23"/>
      <c r="U6" s="24"/>
    </row>
    <row r="7" spans="1:21" x14ac:dyDescent="0.3">
      <c r="A7" s="25" t="s">
        <v>16</v>
      </c>
      <c r="B7" s="26" t="s">
        <v>17</v>
      </c>
      <c r="C7" s="27" t="s">
        <v>18</v>
      </c>
      <c r="D7" s="28" t="s">
        <v>19</v>
      </c>
      <c r="E7" s="26" t="s">
        <v>20</v>
      </c>
      <c r="F7" s="29" t="s">
        <v>21</v>
      </c>
      <c r="G7" s="29" t="s">
        <v>22</v>
      </c>
      <c r="H7" s="30" t="s">
        <v>5</v>
      </c>
      <c r="I7" s="31" t="s">
        <v>23</v>
      </c>
      <c r="J7" s="32" t="s">
        <v>24</v>
      </c>
      <c r="K7" s="29" t="s">
        <v>25</v>
      </c>
      <c r="L7" s="33" t="s">
        <v>26</v>
      </c>
      <c r="M7" s="26" t="s">
        <v>27</v>
      </c>
      <c r="N7" s="29" t="s">
        <v>28</v>
      </c>
      <c r="O7" s="33" t="s">
        <v>29</v>
      </c>
      <c r="P7" s="34" t="s">
        <v>30</v>
      </c>
      <c r="Q7" s="29" t="s">
        <v>31</v>
      </c>
      <c r="R7" s="31" t="s">
        <v>32</v>
      </c>
      <c r="S7" s="34" t="s">
        <v>30</v>
      </c>
      <c r="T7" s="29" t="s">
        <v>31</v>
      </c>
      <c r="U7" s="31" t="s">
        <v>32</v>
      </c>
    </row>
    <row r="8" spans="1:21" ht="17.25" x14ac:dyDescent="0.3">
      <c r="A8" s="35"/>
      <c r="B8" s="35" t="s">
        <v>33</v>
      </c>
      <c r="C8" s="36" t="s">
        <v>34</v>
      </c>
      <c r="D8" s="37">
        <v>300</v>
      </c>
      <c r="E8" s="38">
        <v>46318</v>
      </c>
      <c r="F8" s="39">
        <v>46037</v>
      </c>
      <c r="G8" s="40">
        <v>3607734.5416666684</v>
      </c>
      <c r="H8" s="41">
        <v>0</v>
      </c>
      <c r="I8" s="42">
        <v>3607734.5416666684</v>
      </c>
      <c r="J8" s="43">
        <v>1578110.6299905265</v>
      </c>
      <c r="K8" s="40">
        <v>1161791.0722019218</v>
      </c>
      <c r="L8" s="44">
        <v>2739901.7021924481</v>
      </c>
      <c r="M8" s="45">
        <v>867832.83947422029</v>
      </c>
      <c r="N8" s="46">
        <v>2739901.7021924481</v>
      </c>
      <c r="O8" s="47">
        <v>2845.3535720466239</v>
      </c>
      <c r="P8" s="48"/>
      <c r="Q8" s="49">
        <v>20369.853822368197</v>
      </c>
      <c r="R8" s="50">
        <v>10709.042430889793</v>
      </c>
      <c r="S8" s="48">
        <v>0</v>
      </c>
      <c r="T8" s="49">
        <v>10315.890521719586</v>
      </c>
      <c r="U8" s="50">
        <v>7198.2723370329477</v>
      </c>
    </row>
    <row r="9" spans="1:21" ht="17.25" x14ac:dyDescent="0.3">
      <c r="A9" s="35"/>
      <c r="B9" s="35" t="s">
        <v>35</v>
      </c>
      <c r="C9" s="36" t="s">
        <v>34</v>
      </c>
      <c r="D9" s="37">
        <v>300</v>
      </c>
      <c r="E9" s="38">
        <v>46325</v>
      </c>
      <c r="F9" s="39">
        <v>46045</v>
      </c>
      <c r="G9" s="40">
        <v>3867889.25</v>
      </c>
      <c r="H9" s="41">
        <v>0</v>
      </c>
      <c r="I9" s="42">
        <v>3867889.25</v>
      </c>
      <c r="J9" s="43">
        <v>1827374.9654892408</v>
      </c>
      <c r="K9" s="40">
        <v>1113152.5243605359</v>
      </c>
      <c r="L9" s="44">
        <v>2940527.489849777</v>
      </c>
      <c r="M9" s="45">
        <v>927361.76015022304</v>
      </c>
      <c r="N9" s="46">
        <v>2940527.489849777</v>
      </c>
      <c r="O9" s="47">
        <v>2972.3133338148173</v>
      </c>
      <c r="P9" s="48"/>
      <c r="Q9" s="49">
        <v>8308.4691545246169</v>
      </c>
      <c r="R9" s="50">
        <v>12103.595861612353</v>
      </c>
      <c r="S9" s="48">
        <v>0</v>
      </c>
      <c r="T9" s="49">
        <v>446.20532500045374</v>
      </c>
      <c r="U9" s="50">
        <v>8144.508779627271</v>
      </c>
    </row>
    <row r="10" spans="1:21" ht="17.25" x14ac:dyDescent="0.3">
      <c r="A10" s="35"/>
      <c r="B10" s="35" t="s">
        <v>36</v>
      </c>
      <c r="C10" s="36" t="s">
        <v>34</v>
      </c>
      <c r="D10" s="37">
        <v>300</v>
      </c>
      <c r="E10" s="38">
        <v>46325</v>
      </c>
      <c r="F10" s="39">
        <v>46045</v>
      </c>
      <c r="G10" s="40">
        <v>3866841.7083333321</v>
      </c>
      <c r="H10" s="41">
        <v>0</v>
      </c>
      <c r="I10" s="42">
        <v>3866841.7083333321</v>
      </c>
      <c r="J10" s="43">
        <v>1815432.439437001</v>
      </c>
      <c r="K10" s="40">
        <v>1108847.0973744756</v>
      </c>
      <c r="L10" s="44">
        <v>2924279.5368114766</v>
      </c>
      <c r="M10" s="45">
        <v>942562.17152185552</v>
      </c>
      <c r="N10" s="46">
        <v>2924279.5368114766</v>
      </c>
      <c r="O10" s="47">
        <v>3021.032601031588</v>
      </c>
      <c r="P10" s="48"/>
      <c r="Q10" s="49">
        <v>8175.4369873185642</v>
      </c>
      <c r="R10" s="50">
        <v>12118.45645102486</v>
      </c>
      <c r="S10" s="48">
        <v>0</v>
      </c>
      <c r="T10" s="49">
        <v>-3976.2376266494393</v>
      </c>
      <c r="U10" s="50">
        <v>8146.6722303247079</v>
      </c>
    </row>
    <row r="11" spans="1:21" ht="17.25" x14ac:dyDescent="0.3">
      <c r="A11" s="35"/>
      <c r="B11" s="35" t="s">
        <v>37</v>
      </c>
      <c r="C11" s="36" t="s">
        <v>34</v>
      </c>
      <c r="D11" s="37">
        <v>300</v>
      </c>
      <c r="E11" s="38">
        <v>46332</v>
      </c>
      <c r="F11" s="39">
        <v>46052</v>
      </c>
      <c r="G11" s="40">
        <v>3933133.0833333321</v>
      </c>
      <c r="H11" s="41">
        <v>0</v>
      </c>
      <c r="I11" s="42">
        <v>3933133.0833333321</v>
      </c>
      <c r="J11" s="43">
        <v>2109291.1500203004</v>
      </c>
      <c r="K11" s="40">
        <v>789186.0752469888</v>
      </c>
      <c r="L11" s="44">
        <v>2898477.2252672892</v>
      </c>
      <c r="M11" s="45">
        <v>1034655.8580660429</v>
      </c>
      <c r="N11" s="46">
        <v>2898477.2252672892</v>
      </c>
      <c r="O11" s="47">
        <v>3243.4352917430811</v>
      </c>
      <c r="P11" s="48"/>
      <c r="Q11" s="49">
        <v>3062.5671447408386</v>
      </c>
      <c r="R11" s="50">
        <v>12288.475681164768</v>
      </c>
      <c r="S11" s="48">
        <v>0</v>
      </c>
      <c r="T11" s="49">
        <v>5767.2127435957082</v>
      </c>
      <c r="U11" s="50">
        <v>8276.7213433333673</v>
      </c>
    </row>
    <row r="12" spans="1:21" ht="17.25" x14ac:dyDescent="0.3">
      <c r="A12" s="35"/>
      <c r="B12" s="35" t="s">
        <v>38</v>
      </c>
      <c r="C12" s="36" t="s">
        <v>34</v>
      </c>
      <c r="D12" s="37">
        <v>100</v>
      </c>
      <c r="E12" s="38">
        <v>46339</v>
      </c>
      <c r="F12" s="39">
        <v>46059</v>
      </c>
      <c r="G12" s="40">
        <v>1405882.2361111094</v>
      </c>
      <c r="H12" s="41">
        <v>0</v>
      </c>
      <c r="I12" s="42">
        <v>1405882.2361111094</v>
      </c>
      <c r="J12" s="43">
        <v>775975.28691297874</v>
      </c>
      <c r="K12" s="40">
        <v>235308.74103396942</v>
      </c>
      <c r="L12" s="44">
        <v>1011284.0279469482</v>
      </c>
      <c r="M12" s="45">
        <v>394598.20816416119</v>
      </c>
      <c r="N12" s="46">
        <v>1011284.0279469482</v>
      </c>
      <c r="O12" s="47">
        <v>1210.4239514238072</v>
      </c>
      <c r="P12" s="48"/>
      <c r="Q12" s="49">
        <v>6839.776628133026</v>
      </c>
      <c r="R12" s="50">
        <v>4688.6390869003953</v>
      </c>
      <c r="S12" s="48">
        <v>0</v>
      </c>
      <c r="T12" s="49">
        <v>2874.2645432114368</v>
      </c>
      <c r="U12" s="50">
        <v>3162.2571822244208</v>
      </c>
    </row>
    <row r="13" spans="1:21" ht="17.25" x14ac:dyDescent="0.3">
      <c r="A13" s="35"/>
      <c r="B13" s="35" t="s">
        <v>39</v>
      </c>
      <c r="C13" s="36" t="s">
        <v>34</v>
      </c>
      <c r="D13" s="37">
        <v>300</v>
      </c>
      <c r="E13" s="38">
        <v>46339</v>
      </c>
      <c r="F13" s="39">
        <v>46059</v>
      </c>
      <c r="G13" s="40">
        <v>4067646.7083333321</v>
      </c>
      <c r="H13" s="41">
        <v>0</v>
      </c>
      <c r="I13" s="42">
        <v>4067646.7083333321</v>
      </c>
      <c r="J13" s="43">
        <v>2228292.46075247</v>
      </c>
      <c r="K13" s="40">
        <v>735232.02090946003</v>
      </c>
      <c r="L13" s="44">
        <v>2963524.4816619297</v>
      </c>
      <c r="M13" s="45">
        <v>1104122.2266714023</v>
      </c>
      <c r="N13" s="46">
        <v>2963524.4816619297</v>
      </c>
      <c r="O13" s="47">
        <v>3386.8779959245471</v>
      </c>
      <c r="P13" s="48"/>
      <c r="Q13" s="49">
        <v>19212.455420890823</v>
      </c>
      <c r="R13" s="50">
        <v>13370.3839433291</v>
      </c>
      <c r="S13" s="48">
        <v>0</v>
      </c>
      <c r="T13" s="49">
        <v>13078.97936027823</v>
      </c>
      <c r="U13" s="50">
        <v>9035.0236772582866</v>
      </c>
    </row>
    <row r="14" spans="1:21" ht="17.25" x14ac:dyDescent="0.3">
      <c r="A14" s="35"/>
      <c r="B14" s="35" t="s">
        <v>40</v>
      </c>
      <c r="C14" s="36" t="s">
        <v>34</v>
      </c>
      <c r="D14" s="37">
        <v>300</v>
      </c>
      <c r="E14" s="38">
        <v>46346</v>
      </c>
      <c r="F14" s="39">
        <v>46063</v>
      </c>
      <c r="G14" s="40">
        <v>4249526.4583333321</v>
      </c>
      <c r="H14" s="41">
        <v>0</v>
      </c>
      <c r="I14" s="42">
        <v>4249526.4583333321</v>
      </c>
      <c r="J14" s="43">
        <v>2381715.4564217082</v>
      </c>
      <c r="K14" s="40">
        <v>651815.16274191369</v>
      </c>
      <c r="L14" s="44">
        <v>3033530.6191636221</v>
      </c>
      <c r="M14" s="45">
        <v>1215995.8391697099</v>
      </c>
      <c r="N14" s="46">
        <v>3033530.6191636221</v>
      </c>
      <c r="O14" s="47">
        <v>3651.6391566657958</v>
      </c>
      <c r="P14" s="48"/>
      <c r="Q14" s="49">
        <v>14564.806908786297</v>
      </c>
      <c r="R14" s="50">
        <v>14483.133242908865</v>
      </c>
      <c r="S14" s="48">
        <v>0</v>
      </c>
      <c r="T14" s="49">
        <v>5142.8074251981452</v>
      </c>
      <c r="U14" s="50">
        <v>9750.1595181943849</v>
      </c>
    </row>
    <row r="15" spans="1:21" ht="17.25" x14ac:dyDescent="0.3">
      <c r="A15" s="35"/>
      <c r="B15" s="35" t="s">
        <v>41</v>
      </c>
      <c r="C15" s="36" t="s">
        <v>34</v>
      </c>
      <c r="D15" s="51">
        <v>300</v>
      </c>
      <c r="E15" s="38">
        <v>46374</v>
      </c>
      <c r="F15" s="39">
        <v>46092</v>
      </c>
      <c r="G15" s="52">
        <v>3901422.3333333335</v>
      </c>
      <c r="H15" s="53">
        <v>0</v>
      </c>
      <c r="I15" s="42">
        <v>3901422.3333333335</v>
      </c>
      <c r="J15" s="54">
        <v>1847890.6418324537</v>
      </c>
      <c r="K15" s="52">
        <v>857375.53187170124</v>
      </c>
      <c r="L15" s="44">
        <v>2705266.1737041548</v>
      </c>
      <c r="M15" s="45">
        <v>1196156.1596291787</v>
      </c>
      <c r="N15" s="46">
        <v>2705266.1737041548</v>
      </c>
      <c r="O15" s="55">
        <v>3313.4519657317969</v>
      </c>
      <c r="P15" s="48"/>
      <c r="Q15" s="49">
        <v>7442.8854585168883</v>
      </c>
      <c r="R15" s="50">
        <v>13865.151176590007</v>
      </c>
      <c r="S15" s="48">
        <v>0</v>
      </c>
      <c r="T15" s="49">
        <v>9447.8031382192858</v>
      </c>
      <c r="U15" s="50">
        <v>9335.4295983756892</v>
      </c>
    </row>
    <row r="16" spans="1:21" ht="17.25" x14ac:dyDescent="0.3">
      <c r="A16" s="35"/>
      <c r="B16" s="35" t="s">
        <v>42</v>
      </c>
      <c r="C16" s="36" t="s">
        <v>34</v>
      </c>
      <c r="D16" s="37">
        <v>100</v>
      </c>
      <c r="E16" s="38">
        <v>46374</v>
      </c>
      <c r="F16" s="39">
        <v>46092</v>
      </c>
      <c r="G16" s="40">
        <v>1380474.111111111</v>
      </c>
      <c r="H16" s="41">
        <v>0</v>
      </c>
      <c r="I16" s="42">
        <v>1380474.111111111</v>
      </c>
      <c r="J16" s="43">
        <v>680867.16436594946</v>
      </c>
      <c r="K16" s="40">
        <v>257750.67668155368</v>
      </c>
      <c r="L16" s="44">
        <v>938617.84104750317</v>
      </c>
      <c r="M16" s="45">
        <v>441856.27006360784</v>
      </c>
      <c r="N16" s="46">
        <v>938617.84104750317</v>
      </c>
      <c r="O16" s="47">
        <v>1223.9785874338168</v>
      </c>
      <c r="P16" s="48"/>
      <c r="Q16" s="49">
        <v>8437.3449701325735</v>
      </c>
      <c r="R16" s="50">
        <v>5013.9393088038778</v>
      </c>
      <c r="S16" s="48">
        <v>0</v>
      </c>
      <c r="T16" s="49">
        <v>1562.3519465012942</v>
      </c>
      <c r="U16" s="50">
        <v>3364.8393098441884</v>
      </c>
    </row>
    <row r="17" spans="1:21" ht="17.25" x14ac:dyDescent="0.3">
      <c r="A17" s="35"/>
      <c r="B17" s="35" t="s">
        <v>43</v>
      </c>
      <c r="C17" s="36" t="s">
        <v>34</v>
      </c>
      <c r="D17" s="37">
        <v>300</v>
      </c>
      <c r="E17" s="38">
        <v>46043</v>
      </c>
      <c r="F17" s="39">
        <v>46035</v>
      </c>
      <c r="G17" s="40">
        <v>2491373.333333333</v>
      </c>
      <c r="H17" s="41">
        <v>0</v>
      </c>
      <c r="I17" s="42">
        <v>2491373.333333333</v>
      </c>
      <c r="J17" s="43">
        <v>2449198.1259304374</v>
      </c>
      <c r="K17" s="40">
        <v>-86976.922790634737</v>
      </c>
      <c r="L17" s="44">
        <v>2362221.2031398024</v>
      </c>
      <c r="M17" s="45">
        <v>129152.13019353058</v>
      </c>
      <c r="N17" s="46">
        <v>2362221.2031398024</v>
      </c>
      <c r="O17" s="47">
        <v>4305.0710064510195</v>
      </c>
      <c r="P17" s="48"/>
      <c r="Q17" s="56">
        <v>9199.3158815852366</v>
      </c>
      <c r="R17" s="50">
        <v>13778.90891296044</v>
      </c>
      <c r="S17" s="48">
        <v>0</v>
      </c>
      <c r="T17" s="49">
        <v>16553.342998995446</v>
      </c>
      <c r="U17" s="50">
        <v>9160.4189249747433</v>
      </c>
    </row>
    <row r="18" spans="1:21" ht="17.25" x14ac:dyDescent="0.3">
      <c r="A18" s="35"/>
      <c r="B18" s="35" t="s">
        <v>44</v>
      </c>
      <c r="C18" s="36" t="s">
        <v>34</v>
      </c>
      <c r="D18" s="37">
        <v>300</v>
      </c>
      <c r="E18" s="38">
        <v>46058</v>
      </c>
      <c r="F18" s="39">
        <v>46051</v>
      </c>
      <c r="G18" s="40">
        <v>2443833.2999999998</v>
      </c>
      <c r="H18" s="41">
        <v>0</v>
      </c>
      <c r="I18" s="42">
        <v>2443833.2999999998</v>
      </c>
      <c r="J18" s="43">
        <v>2089409.4021518475</v>
      </c>
      <c r="K18" s="40">
        <v>200506.55501421032</v>
      </c>
      <c r="L18" s="44">
        <v>2289915.957166058</v>
      </c>
      <c r="M18" s="45">
        <v>153917.3428339418</v>
      </c>
      <c r="N18" s="46">
        <v>2289915.957166058</v>
      </c>
      <c r="O18" s="47">
        <v>3420.3853963098177</v>
      </c>
      <c r="P18" s="48"/>
      <c r="Q18" s="49">
        <v>12284.723904865328</v>
      </c>
      <c r="R18" s="50">
        <v>13396.309905607719</v>
      </c>
      <c r="S18" s="48">
        <v>0</v>
      </c>
      <c r="T18" s="49">
        <v>19183.088563296013</v>
      </c>
      <c r="U18" s="50">
        <v>8963.5349006070755</v>
      </c>
    </row>
    <row r="19" spans="1:21" ht="17.25" x14ac:dyDescent="0.3">
      <c r="A19" s="35"/>
      <c r="B19" s="35" t="s">
        <v>45</v>
      </c>
      <c r="C19" s="36" t="s">
        <v>46</v>
      </c>
      <c r="D19" s="37">
        <v>100</v>
      </c>
      <c r="E19" s="38">
        <v>46170</v>
      </c>
      <c r="F19" s="39">
        <v>46073</v>
      </c>
      <c r="G19" s="40">
        <v>725840.3</v>
      </c>
      <c r="H19" s="41">
        <v>0</v>
      </c>
      <c r="I19" s="42">
        <v>725840.3</v>
      </c>
      <c r="J19" s="43">
        <v>629590.91419677902</v>
      </c>
      <c r="K19" s="40">
        <v>-158485.89186628774</v>
      </c>
      <c r="L19" s="44">
        <v>471105.02233049128</v>
      </c>
      <c r="M19" s="45">
        <v>254735.27766950877</v>
      </c>
      <c r="N19" s="46">
        <v>471105.02233049128</v>
      </c>
      <c r="O19" s="47">
        <v>1622.5176921624761</v>
      </c>
      <c r="P19" s="48"/>
      <c r="Q19" s="49">
        <v>7889.7382780091721</v>
      </c>
      <c r="R19" s="50">
        <v>7614.959132525546</v>
      </c>
      <c r="S19" s="48">
        <v>0</v>
      </c>
      <c r="T19" s="49">
        <v>5500.8238468736527</v>
      </c>
      <c r="U19" s="50">
        <v>5323.0960228715558</v>
      </c>
    </row>
    <row r="20" spans="1:21" ht="17.25" x14ac:dyDescent="0.3">
      <c r="A20" s="35"/>
      <c r="B20" s="35" t="s">
        <v>47</v>
      </c>
      <c r="C20" s="36" t="s">
        <v>46</v>
      </c>
      <c r="D20" s="37">
        <v>200</v>
      </c>
      <c r="E20" s="38">
        <v>46170</v>
      </c>
      <c r="F20" s="39">
        <v>46073</v>
      </c>
      <c r="G20" s="40">
        <v>1503680.6000000003</v>
      </c>
      <c r="H20" s="41">
        <v>0</v>
      </c>
      <c r="I20" s="42">
        <v>1503680.6000000003</v>
      </c>
      <c r="J20" s="43">
        <v>1243343.5627283801</v>
      </c>
      <c r="K20" s="40">
        <v>-314055.27405602921</v>
      </c>
      <c r="L20" s="44">
        <v>929288.28867235081</v>
      </c>
      <c r="M20" s="45">
        <v>574392.31132764951</v>
      </c>
      <c r="N20" s="46">
        <v>929288.28867235081</v>
      </c>
      <c r="O20" s="47">
        <v>3658.5497536792964</v>
      </c>
      <c r="P20" s="48"/>
      <c r="Q20" s="49">
        <v>23765.272305517225</v>
      </c>
      <c r="R20" s="50">
        <v>15640.624382206472</v>
      </c>
      <c r="S20" s="48">
        <v>0</v>
      </c>
      <c r="T20" s="49">
        <v>16625.140825072187</v>
      </c>
      <c r="U20" s="50">
        <v>10911.85153760633</v>
      </c>
    </row>
    <row r="21" spans="1:21" ht="17.25" x14ac:dyDescent="0.3">
      <c r="A21" s="35"/>
      <c r="B21" s="35" t="s">
        <v>48</v>
      </c>
      <c r="C21" s="36" t="s">
        <v>46</v>
      </c>
      <c r="D21" s="37">
        <v>300</v>
      </c>
      <c r="E21" s="38">
        <v>46175</v>
      </c>
      <c r="F21" s="39">
        <v>46076</v>
      </c>
      <c r="G21" s="40">
        <v>2204669.6166666667</v>
      </c>
      <c r="H21" s="41">
        <v>0</v>
      </c>
      <c r="I21" s="42">
        <v>2204669.6166666667</v>
      </c>
      <c r="J21" s="43">
        <v>1702152.8681147653</v>
      </c>
      <c r="K21" s="40">
        <v>-240851.13817837325</v>
      </c>
      <c r="L21" s="44">
        <v>1461301.729936392</v>
      </c>
      <c r="M21" s="45">
        <v>743367.88673027465</v>
      </c>
      <c r="N21" s="46">
        <v>1461301.729936392</v>
      </c>
      <c r="O21" s="47">
        <v>4588.6906588288557</v>
      </c>
      <c r="P21" s="48"/>
      <c r="Q21" s="49">
        <v>14724.144382489612</v>
      </c>
      <c r="R21" s="50">
        <v>15819.29536187835</v>
      </c>
      <c r="S21" s="48">
        <v>0</v>
      </c>
      <c r="T21" s="49">
        <v>20654.401206362294</v>
      </c>
      <c r="U21" s="50">
        <v>10529.987752806162</v>
      </c>
    </row>
    <row r="22" spans="1:21" ht="17.25" x14ac:dyDescent="0.3">
      <c r="A22" s="35"/>
      <c r="B22" s="35" t="s">
        <v>49</v>
      </c>
      <c r="C22" s="36" t="s">
        <v>46</v>
      </c>
      <c r="D22" s="37">
        <v>300</v>
      </c>
      <c r="E22" s="38">
        <v>46189</v>
      </c>
      <c r="F22" s="39">
        <v>46090</v>
      </c>
      <c r="G22" s="40">
        <v>2245437.7833333332</v>
      </c>
      <c r="H22" s="41">
        <v>0</v>
      </c>
      <c r="I22" s="42">
        <v>2245437.7833333332</v>
      </c>
      <c r="J22" s="43">
        <v>1654311.1791176074</v>
      </c>
      <c r="K22" s="40">
        <v>-228659.35004736771</v>
      </c>
      <c r="L22" s="44">
        <v>1425651.8290702398</v>
      </c>
      <c r="M22" s="45">
        <v>819785.95426309342</v>
      </c>
      <c r="N22" s="46">
        <v>1425651.8290702398</v>
      </c>
      <c r="O22" s="47">
        <v>4657.874740131213</v>
      </c>
      <c r="P22" s="48"/>
      <c r="Q22" s="49">
        <v>3300.3219012960326</v>
      </c>
      <c r="R22" s="50">
        <v>16268.436425854918</v>
      </c>
      <c r="S22" s="48">
        <v>0</v>
      </c>
      <c r="T22" s="49">
        <v>10223.925604223041</v>
      </c>
      <c r="U22" s="50">
        <v>10812.332149030641</v>
      </c>
    </row>
    <row r="23" spans="1:21" ht="17.25" x14ac:dyDescent="0.3">
      <c r="A23" s="35"/>
      <c r="B23" s="35" t="s">
        <v>50</v>
      </c>
      <c r="C23" s="36" t="s">
        <v>46</v>
      </c>
      <c r="D23" s="37">
        <v>300</v>
      </c>
      <c r="E23" s="38">
        <v>46195</v>
      </c>
      <c r="F23" s="39">
        <v>46094</v>
      </c>
      <c r="G23" s="52">
        <v>5080107.0000000009</v>
      </c>
      <c r="H23" s="53">
        <v>0</v>
      </c>
      <c r="I23" s="42">
        <v>5080107.0000000009</v>
      </c>
      <c r="J23" s="54">
        <v>3209662.8085667887</v>
      </c>
      <c r="K23" s="52">
        <v>1172038.850994722</v>
      </c>
      <c r="L23" s="44">
        <v>4381701.6595615111</v>
      </c>
      <c r="M23" s="45">
        <v>698405.3404384898</v>
      </c>
      <c r="N23" s="46">
        <v>4381701.6595615111</v>
      </c>
      <c r="O23" s="47">
        <v>3837.3919804312627</v>
      </c>
      <c r="P23" s="48">
        <v>-367876.45960211125</v>
      </c>
      <c r="Q23" s="49">
        <v>60603.186230196385</v>
      </c>
      <c r="R23" s="50">
        <v>15204.60648866999</v>
      </c>
      <c r="S23" s="48">
        <v>-367876.45960211125</v>
      </c>
      <c r="T23" s="49">
        <v>13030.827497986378</v>
      </c>
      <c r="U23" s="50">
        <v>10063.035563491052</v>
      </c>
    </row>
    <row r="24" spans="1:21" ht="17.25" x14ac:dyDescent="0.3">
      <c r="A24" s="35"/>
      <c r="B24" s="35" t="s">
        <v>51</v>
      </c>
      <c r="C24" s="36" t="s">
        <v>46</v>
      </c>
      <c r="D24" s="37">
        <v>400</v>
      </c>
      <c r="E24" s="38">
        <v>46209</v>
      </c>
      <c r="F24" s="39">
        <v>46015</v>
      </c>
      <c r="G24" s="52">
        <v>6023736.1777777784</v>
      </c>
      <c r="H24" s="53">
        <v>0</v>
      </c>
      <c r="I24" s="42">
        <v>6023736.1777777784</v>
      </c>
      <c r="J24" s="54">
        <v>4131382.4556773584</v>
      </c>
      <c r="K24" s="52">
        <v>1140652.2736500204</v>
      </c>
      <c r="L24" s="44">
        <v>5272034.7293273788</v>
      </c>
      <c r="M24" s="45">
        <v>751701.44845039956</v>
      </c>
      <c r="N24" s="46">
        <v>5272034.7293273788</v>
      </c>
      <c r="O24" s="47">
        <v>3835.2114716857122</v>
      </c>
      <c r="P24" s="48"/>
      <c r="Q24" s="49">
        <v>19646.660884256475</v>
      </c>
      <c r="R24" s="50">
        <v>18982.06053052377</v>
      </c>
      <c r="S24" s="48">
        <v>0</v>
      </c>
      <c r="T24" s="49">
        <v>16662.585406447761</v>
      </c>
      <c r="U24" s="50">
        <v>12548.769699211232</v>
      </c>
    </row>
    <row r="25" spans="1:21" ht="17.25" x14ac:dyDescent="0.3">
      <c r="A25" s="35"/>
      <c r="B25" s="35" t="s">
        <v>52</v>
      </c>
      <c r="C25" s="36" t="s">
        <v>46</v>
      </c>
      <c r="D25" s="37">
        <v>300</v>
      </c>
      <c r="E25" s="38">
        <v>46209</v>
      </c>
      <c r="F25" s="39">
        <v>46014</v>
      </c>
      <c r="G25" s="52">
        <v>4551879.5</v>
      </c>
      <c r="H25" s="53">
        <v>0</v>
      </c>
      <c r="I25" s="42">
        <v>4551879.5</v>
      </c>
      <c r="J25" s="54">
        <v>3097312.9411963732</v>
      </c>
      <c r="K25" s="52">
        <v>904990.27371768851</v>
      </c>
      <c r="L25" s="44">
        <v>4002303.2149140616</v>
      </c>
      <c r="M25" s="45">
        <v>549576.28508593841</v>
      </c>
      <c r="N25" s="46">
        <v>4002303.2149140616</v>
      </c>
      <c r="O25" s="47">
        <v>2803.9606381935632</v>
      </c>
      <c r="P25" s="48"/>
      <c r="Q25" s="49">
        <v>16361.190363811329</v>
      </c>
      <c r="R25" s="50">
        <v>14341.845428441651</v>
      </c>
      <c r="S25" s="48">
        <v>0</v>
      </c>
      <c r="T25" s="49">
        <v>16235.395052160602</v>
      </c>
      <c r="U25" s="50">
        <v>9479.2457941574976</v>
      </c>
    </row>
    <row r="26" spans="1:21" ht="17.25" x14ac:dyDescent="0.3">
      <c r="A26" s="35"/>
      <c r="B26" s="35" t="s">
        <v>53</v>
      </c>
      <c r="C26" s="36" t="s">
        <v>34</v>
      </c>
      <c r="D26" s="37">
        <v>100</v>
      </c>
      <c r="E26" s="38">
        <v>46230</v>
      </c>
      <c r="F26" s="39">
        <v>46038</v>
      </c>
      <c r="G26" s="40">
        <v>1487960.0694444431</v>
      </c>
      <c r="H26" s="41">
        <v>0</v>
      </c>
      <c r="I26" s="42">
        <v>1487960.0694444431</v>
      </c>
      <c r="J26" s="43">
        <v>869943.66761402087</v>
      </c>
      <c r="K26" s="40">
        <v>387030.62593043712</v>
      </c>
      <c r="L26" s="44">
        <v>1256974.293544458</v>
      </c>
      <c r="M26" s="45">
        <v>230985.77589998511</v>
      </c>
      <c r="N26" s="46">
        <v>1256974.293544458</v>
      </c>
      <c r="O26" s="47">
        <v>1064.4505801842631</v>
      </c>
      <c r="P26" s="48"/>
      <c r="Q26" s="49">
        <v>4814.8998612440191</v>
      </c>
      <c r="R26" s="50">
        <v>4408.1641802897211</v>
      </c>
      <c r="S26" s="48">
        <v>0</v>
      </c>
      <c r="T26" s="49">
        <v>4946.8256998872384</v>
      </c>
      <c r="U26" s="50">
        <v>2952.3498559894506</v>
      </c>
    </row>
    <row r="27" spans="1:21" ht="17.25" x14ac:dyDescent="0.3">
      <c r="A27" s="35"/>
      <c r="B27" s="35" t="s">
        <v>54</v>
      </c>
      <c r="C27" s="36" t="s">
        <v>34</v>
      </c>
      <c r="D27" s="37">
        <v>300</v>
      </c>
      <c r="E27" s="38">
        <v>46308</v>
      </c>
      <c r="F27" s="39">
        <v>46027</v>
      </c>
      <c r="G27" s="40">
        <v>3369759.7083333349</v>
      </c>
      <c r="H27" s="41">
        <v>0</v>
      </c>
      <c r="I27" s="42">
        <v>3369759.7083333349</v>
      </c>
      <c r="J27" s="43">
        <v>893271.35742319666</v>
      </c>
      <c r="K27" s="40">
        <v>1794008.6506969822</v>
      </c>
      <c r="L27" s="44">
        <v>2687280.0081201787</v>
      </c>
      <c r="M27" s="45">
        <v>682479.70021315617</v>
      </c>
      <c r="N27" s="46">
        <v>2687280.0081201787</v>
      </c>
      <c r="O27" s="47">
        <v>2313.4905091971395</v>
      </c>
      <c r="P27" s="48"/>
      <c r="Q27" s="49">
        <v>5107.7942016068846</v>
      </c>
      <c r="R27" s="50">
        <v>9093.9485599733889</v>
      </c>
      <c r="S27" s="48">
        <v>0</v>
      </c>
      <c r="T27" s="49">
        <v>5950.875301332213</v>
      </c>
      <c r="U27" s="50">
        <v>6079.913515040651</v>
      </c>
    </row>
    <row r="28" spans="1:21" ht="17.25" x14ac:dyDescent="0.3">
      <c r="A28" s="35"/>
      <c r="B28" s="35" t="s">
        <v>55</v>
      </c>
      <c r="C28" s="36" t="s">
        <v>34</v>
      </c>
      <c r="D28" s="37">
        <v>300</v>
      </c>
      <c r="E28" s="38">
        <v>46308</v>
      </c>
      <c r="F28" s="39">
        <v>46027</v>
      </c>
      <c r="G28" s="40">
        <v>3537759.7083333349</v>
      </c>
      <c r="H28" s="41">
        <v>0</v>
      </c>
      <c r="I28" s="42">
        <v>3537759.7083333349</v>
      </c>
      <c r="J28" s="43">
        <v>1087258.2010420896</v>
      </c>
      <c r="K28" s="40">
        <v>1712754.6186899445</v>
      </c>
      <c r="L28" s="44">
        <v>2800012.8197320341</v>
      </c>
      <c r="M28" s="45">
        <v>737746.88860130077</v>
      </c>
      <c r="N28" s="46">
        <v>2800012.8197320341</v>
      </c>
      <c r="O28" s="47">
        <v>2500.8369105128841</v>
      </c>
      <c r="P28" s="48"/>
      <c r="Q28" s="49">
        <v>9854.8737020054832</v>
      </c>
      <c r="R28" s="50">
        <v>9836.8013677587733</v>
      </c>
      <c r="S28" s="48">
        <v>0</v>
      </c>
      <c r="T28" s="49">
        <v>8757.4727918771096</v>
      </c>
      <c r="U28" s="50">
        <v>6546.3211638396606</v>
      </c>
    </row>
    <row r="29" spans="1:21" ht="17.25" x14ac:dyDescent="0.3">
      <c r="A29" s="35"/>
      <c r="B29" s="35" t="s">
        <v>56</v>
      </c>
      <c r="C29" s="36" t="s">
        <v>46</v>
      </c>
      <c r="D29" s="37">
        <v>200</v>
      </c>
      <c r="E29" s="38">
        <v>46577</v>
      </c>
      <c r="F29" s="39">
        <v>46024</v>
      </c>
      <c r="G29" s="52">
        <v>2221094.577777775</v>
      </c>
      <c r="H29" s="53">
        <v>0</v>
      </c>
      <c r="I29" s="42">
        <v>2221094.577777775</v>
      </c>
      <c r="J29" s="54">
        <v>670857.84612261469</v>
      </c>
      <c r="K29" s="52">
        <v>-68197.491879821362</v>
      </c>
      <c r="L29" s="44">
        <v>602660.35424279328</v>
      </c>
      <c r="M29" s="45">
        <v>1618434.2235349817</v>
      </c>
      <c r="N29" s="46">
        <v>602660.35424279328</v>
      </c>
      <c r="O29" s="47">
        <v>2869.564226125854</v>
      </c>
      <c r="P29" s="48"/>
      <c r="Q29" s="49">
        <v>6262.7855967767537</v>
      </c>
      <c r="R29" s="50">
        <v>8123.6564294623677</v>
      </c>
      <c r="S29" s="48">
        <v>0</v>
      </c>
      <c r="T29" s="49">
        <v>3565.1521713066613</v>
      </c>
      <c r="U29" s="50">
        <v>5325.7623054074356</v>
      </c>
    </row>
    <row r="30" spans="1:21" ht="17.25" x14ac:dyDescent="0.3">
      <c r="A30" s="35"/>
      <c r="B30" s="35" t="s">
        <v>57</v>
      </c>
      <c r="C30" s="36" t="s">
        <v>46</v>
      </c>
      <c r="D30" s="37">
        <v>300</v>
      </c>
      <c r="E30" s="38">
        <v>46584</v>
      </c>
      <c r="F30" s="39">
        <v>46031</v>
      </c>
      <c r="G30" s="52">
        <v>3341086.899999998</v>
      </c>
      <c r="H30" s="53">
        <v>0</v>
      </c>
      <c r="I30" s="42">
        <v>3341086.899999998</v>
      </c>
      <c r="J30" s="54">
        <v>1226943.6131411558</v>
      </c>
      <c r="K30" s="52">
        <v>-320982.92021924484</v>
      </c>
      <c r="L30" s="44">
        <v>905960.6929219109</v>
      </c>
      <c r="M30" s="45">
        <v>2435126.2070780871</v>
      </c>
      <c r="N30" s="46">
        <v>905960.6929219109</v>
      </c>
      <c r="O30" s="47">
        <v>4264.6693644099596</v>
      </c>
      <c r="P30" s="48"/>
      <c r="Q30" s="49">
        <v>7657.9328786266269</v>
      </c>
      <c r="R30" s="50">
        <v>12259.69130589324</v>
      </c>
      <c r="S30" s="48">
        <v>0</v>
      </c>
      <c r="T30" s="49">
        <v>5989.3373167118989</v>
      </c>
      <c r="U30" s="50">
        <v>8078.3828028227435</v>
      </c>
    </row>
    <row r="31" spans="1:21" ht="17.25" x14ac:dyDescent="0.3">
      <c r="A31" s="35"/>
      <c r="B31" s="35" t="s">
        <v>58</v>
      </c>
      <c r="C31" s="36" t="s">
        <v>46</v>
      </c>
      <c r="D31" s="37">
        <v>300</v>
      </c>
      <c r="E31" s="38">
        <v>46594</v>
      </c>
      <c r="F31" s="39">
        <v>46038</v>
      </c>
      <c r="G31" s="52">
        <v>7215266.4741847813</v>
      </c>
      <c r="H31" s="53">
        <v>0</v>
      </c>
      <c r="I31" s="42">
        <v>7215266.4741847813</v>
      </c>
      <c r="J31" s="54">
        <v>1218717.8931519827</v>
      </c>
      <c r="K31" s="52">
        <v>-305756.878467993</v>
      </c>
      <c r="L31" s="44">
        <v>912961.01468398969</v>
      </c>
      <c r="M31" s="45">
        <v>6302305.4595007915</v>
      </c>
      <c r="N31" s="46">
        <v>912961.01468398981</v>
      </c>
      <c r="O31" s="47">
        <v>10847.341582617541</v>
      </c>
      <c r="P31" s="48"/>
      <c r="Q31" s="49">
        <v>13214.291770422715</v>
      </c>
      <c r="R31" s="50">
        <v>13214.336507421103</v>
      </c>
      <c r="S31" s="48">
        <v>0</v>
      </c>
      <c r="T31" s="49">
        <v>8738.6358591860626</v>
      </c>
      <c r="U31" s="50">
        <v>8738.650930879754</v>
      </c>
    </row>
    <row r="32" spans="1:21" ht="17.25" x14ac:dyDescent="0.3">
      <c r="A32" s="57"/>
      <c r="B32" s="35" t="s">
        <v>59</v>
      </c>
      <c r="C32" s="36" t="s">
        <v>34</v>
      </c>
      <c r="D32" s="51">
        <v>100</v>
      </c>
      <c r="E32" s="38">
        <v>46594</v>
      </c>
      <c r="F32" s="39">
        <v>46038</v>
      </c>
      <c r="G32" s="52">
        <v>1137476.1938736655</v>
      </c>
      <c r="H32" s="58">
        <v>0</v>
      </c>
      <c r="I32" s="59">
        <v>1137476.1938736655</v>
      </c>
      <c r="J32" s="54">
        <v>409824.31384490459</v>
      </c>
      <c r="K32" s="52">
        <v>-108382.47124103397</v>
      </c>
      <c r="L32" s="44">
        <v>301441.84260387061</v>
      </c>
      <c r="M32" s="45">
        <v>836034.35126979486</v>
      </c>
      <c r="N32" s="46">
        <v>301441.84260387067</v>
      </c>
      <c r="O32" s="55">
        <v>1438.9575753352751</v>
      </c>
      <c r="P32" s="60"/>
      <c r="Q32" s="49">
        <v>4325.30094283988</v>
      </c>
      <c r="R32" s="50">
        <v>4325.2864158333396</v>
      </c>
      <c r="S32" s="60">
        <v>0</v>
      </c>
      <c r="T32" s="49">
        <v>2856.6344397763605</v>
      </c>
      <c r="U32" s="50">
        <v>2856.6248674259405</v>
      </c>
    </row>
    <row r="33" spans="1:21" ht="17.25" x14ac:dyDescent="0.3">
      <c r="A33" s="61"/>
      <c r="B33" s="35" t="s">
        <v>60</v>
      </c>
      <c r="C33" s="36" t="s">
        <v>46</v>
      </c>
      <c r="D33" s="51">
        <v>300</v>
      </c>
      <c r="E33" s="38">
        <v>46597</v>
      </c>
      <c r="F33" s="39">
        <v>46044</v>
      </c>
      <c r="G33" s="52">
        <v>3539295.9999999981</v>
      </c>
      <c r="H33" s="58">
        <v>0</v>
      </c>
      <c r="I33" s="59">
        <v>3539295.9999999981</v>
      </c>
      <c r="J33" s="54">
        <v>1204877.5260522398</v>
      </c>
      <c r="K33" s="52">
        <v>-378590.87258086348</v>
      </c>
      <c r="L33" s="44">
        <v>826286.65347137628</v>
      </c>
      <c r="M33" s="45">
        <v>2713009.3465286219</v>
      </c>
      <c r="N33" s="46">
        <v>826286.65347137628</v>
      </c>
      <c r="O33" s="55">
        <v>4645.5639495353116</v>
      </c>
      <c r="P33" s="60"/>
      <c r="Q33" s="49">
        <v>7303.9725569977891</v>
      </c>
      <c r="R33" s="50">
        <v>13568.728143245331</v>
      </c>
      <c r="S33" s="60">
        <v>0</v>
      </c>
      <c r="T33" s="49">
        <v>9981.116644947906</v>
      </c>
      <c r="U33" s="50">
        <v>8993.5950112023856</v>
      </c>
    </row>
    <row r="34" spans="1:21" ht="17.25" x14ac:dyDescent="0.3">
      <c r="A34" s="61"/>
      <c r="B34" s="35" t="s">
        <v>61</v>
      </c>
      <c r="C34" s="36" t="s">
        <v>46</v>
      </c>
      <c r="D34" s="51">
        <v>300</v>
      </c>
      <c r="E34" s="38">
        <v>46605</v>
      </c>
      <c r="F34" s="39">
        <v>46052</v>
      </c>
      <c r="G34" s="52">
        <v>7079325.2072463762</v>
      </c>
      <c r="H34" s="58">
        <v>0</v>
      </c>
      <c r="I34" s="59">
        <v>7079325.2072463762</v>
      </c>
      <c r="J34" s="54">
        <v>559646.82365678716</v>
      </c>
      <c r="K34" s="52">
        <v>297830.51935309242</v>
      </c>
      <c r="L34" s="44">
        <v>857477.34300987958</v>
      </c>
      <c r="M34" s="45">
        <v>6221847.8642364964</v>
      </c>
      <c r="N34" s="46">
        <v>857477.34300987981</v>
      </c>
      <c r="O34" s="55">
        <v>10509.878149048136</v>
      </c>
      <c r="P34" s="60"/>
      <c r="Q34" s="49">
        <v>12683.49815663998</v>
      </c>
      <c r="R34" s="50">
        <v>12683.602628336172</v>
      </c>
      <c r="S34" s="60">
        <v>0</v>
      </c>
      <c r="T34" s="49">
        <v>8441.6071582684526</v>
      </c>
      <c r="U34" s="50">
        <v>8441.6515132051427</v>
      </c>
    </row>
    <row r="35" spans="1:21" ht="17.25" x14ac:dyDescent="0.3">
      <c r="A35" s="61"/>
      <c r="B35" s="35" t="s">
        <v>62</v>
      </c>
      <c r="C35" s="36" t="s">
        <v>46</v>
      </c>
      <c r="D35" s="51">
        <v>200</v>
      </c>
      <c r="E35" s="38">
        <v>46611</v>
      </c>
      <c r="F35" s="39">
        <v>46058</v>
      </c>
      <c r="G35" s="52">
        <v>4583822.8811594183</v>
      </c>
      <c r="H35" s="58">
        <v>0</v>
      </c>
      <c r="I35" s="59">
        <v>4583822.8811594183</v>
      </c>
      <c r="J35" s="54">
        <v>406845.15969684668</v>
      </c>
      <c r="K35" s="52">
        <v>134184.76180809311</v>
      </c>
      <c r="L35" s="44">
        <v>541029.92150493979</v>
      </c>
      <c r="M35" s="45">
        <v>4042792.9596544784</v>
      </c>
      <c r="N35" s="46">
        <v>541029.92150493991</v>
      </c>
      <c r="O35" s="55">
        <v>6760.5233439038102</v>
      </c>
      <c r="P35" s="60"/>
      <c r="Q35" s="49">
        <v>8356.671132966294</v>
      </c>
      <c r="R35" s="50">
        <v>8356.6705296461005</v>
      </c>
      <c r="S35" s="60">
        <v>0</v>
      </c>
      <c r="T35" s="49">
        <v>5601.2222766701598</v>
      </c>
      <c r="U35" s="50">
        <v>5601.2023362774635</v>
      </c>
    </row>
    <row r="36" spans="1:21" ht="17.25" x14ac:dyDescent="0.3">
      <c r="A36" s="61"/>
      <c r="B36" s="35" t="s">
        <v>63</v>
      </c>
      <c r="C36" s="36" t="s">
        <v>46</v>
      </c>
      <c r="D36" s="51">
        <v>300</v>
      </c>
      <c r="E36" s="38">
        <v>46632</v>
      </c>
      <c r="F36" s="39">
        <v>46076</v>
      </c>
      <c r="G36" s="52">
        <v>3456257.9666666668</v>
      </c>
      <c r="H36" s="58">
        <v>0</v>
      </c>
      <c r="I36" s="59">
        <v>3456257.9666666668</v>
      </c>
      <c r="J36" s="54">
        <v>646113.07788604684</v>
      </c>
      <c r="K36" s="52">
        <v>140490.45574502638</v>
      </c>
      <c r="L36" s="44">
        <v>786603.53363107319</v>
      </c>
      <c r="M36" s="45">
        <v>2669654.4330355935</v>
      </c>
      <c r="N36" s="46">
        <v>786603.53363107331</v>
      </c>
      <c r="O36" s="55">
        <v>4312.8504572465163</v>
      </c>
      <c r="P36" s="60"/>
      <c r="Q36" s="49">
        <v>17869.951526379562</v>
      </c>
      <c r="R36" s="50">
        <v>14587.888832909171</v>
      </c>
      <c r="S36" s="60">
        <v>0</v>
      </c>
      <c r="T36" s="49">
        <v>11245.014134728815</v>
      </c>
      <c r="U36" s="50">
        <v>9704.2420990695246</v>
      </c>
    </row>
    <row r="37" spans="1:21" ht="17.25" x14ac:dyDescent="0.3">
      <c r="A37" s="61"/>
      <c r="B37" s="35" t="s">
        <v>64</v>
      </c>
      <c r="C37" s="36" t="s">
        <v>46</v>
      </c>
      <c r="D37" s="51">
        <v>300</v>
      </c>
      <c r="E37" s="38">
        <v>46673</v>
      </c>
      <c r="F37" s="39">
        <v>46028</v>
      </c>
      <c r="G37" s="52">
        <v>2243558.75</v>
      </c>
      <c r="H37" s="58">
        <v>0</v>
      </c>
      <c r="I37" s="59">
        <v>2243558.75</v>
      </c>
      <c r="J37" s="54">
        <v>-682346.97252672899</v>
      </c>
      <c r="K37" s="52">
        <v>895697.77845445939</v>
      </c>
      <c r="L37" s="44">
        <v>213350.8059277304</v>
      </c>
      <c r="M37" s="45">
        <v>2030207.9440722696</v>
      </c>
      <c r="N37" s="46">
        <v>213350.8059277304</v>
      </c>
      <c r="O37" s="55">
        <v>3076.0726425337416</v>
      </c>
      <c r="P37" s="60"/>
      <c r="Q37" s="49">
        <v>10582.244112499757</v>
      </c>
      <c r="R37" s="50">
        <v>10582.153589111462</v>
      </c>
      <c r="S37" s="60">
        <v>0</v>
      </c>
      <c r="T37" s="49">
        <v>6944.5318957780546</v>
      </c>
      <c r="U37" s="50">
        <v>6944.4566763842886</v>
      </c>
    </row>
    <row r="38" spans="1:21" ht="17.25" x14ac:dyDescent="0.3">
      <c r="A38" s="61"/>
      <c r="B38" s="35" t="s">
        <v>65</v>
      </c>
      <c r="C38" s="36" t="s">
        <v>46</v>
      </c>
      <c r="D38" s="51">
        <v>300</v>
      </c>
      <c r="E38" s="38">
        <v>46343</v>
      </c>
      <c r="F38" s="39">
        <v>46062</v>
      </c>
      <c r="G38" s="52">
        <v>1173218.5416666656</v>
      </c>
      <c r="H38" s="58">
        <v>0</v>
      </c>
      <c r="I38" s="59">
        <v>1173218.5416666656</v>
      </c>
      <c r="J38" s="54">
        <v>-265408.40844498581</v>
      </c>
      <c r="K38" s="52">
        <v>385402.54398430098</v>
      </c>
      <c r="L38" s="44">
        <v>119994.13553931518</v>
      </c>
      <c r="M38" s="45">
        <v>1053224.4061273504</v>
      </c>
      <c r="N38" s="46">
        <v>119994.13553931518</v>
      </c>
      <c r="O38" s="55">
        <v>3191.5891094768194</v>
      </c>
      <c r="P38" s="60"/>
      <c r="Q38" s="49">
        <v>13544.225489267832</v>
      </c>
      <c r="R38" s="50">
        <v>11350.402372077762</v>
      </c>
      <c r="S38" s="60">
        <v>0</v>
      </c>
      <c r="T38" s="49">
        <v>9149.4107220934093</v>
      </c>
      <c r="U38" s="50">
        <v>7605.488958492002</v>
      </c>
    </row>
    <row r="39" spans="1:21" ht="17.25" x14ac:dyDescent="0.3">
      <c r="A39" s="62"/>
      <c r="B39" s="62" t="s">
        <v>66</v>
      </c>
      <c r="C39" s="63" t="s">
        <v>34</v>
      </c>
      <c r="D39" s="64">
        <v>300</v>
      </c>
      <c r="E39" s="65">
        <v>46713</v>
      </c>
      <c r="F39" s="66">
        <v>46064</v>
      </c>
      <c r="G39" s="67">
        <v>2426026.3608447462</v>
      </c>
      <c r="H39" s="68">
        <v>0</v>
      </c>
      <c r="I39" s="69">
        <v>2426026.3608447462</v>
      </c>
      <c r="J39" s="70">
        <v>-377495.7331844634</v>
      </c>
      <c r="K39" s="67">
        <v>485170.62897550414</v>
      </c>
      <c r="L39" s="71">
        <v>107674.89579104073</v>
      </c>
      <c r="M39" s="72">
        <v>2318351.4650537055</v>
      </c>
      <c r="N39" s="73">
        <v>107674.89579104073</v>
      </c>
      <c r="O39" s="74">
        <v>3311.9306643624363</v>
      </c>
      <c r="P39" s="75"/>
      <c r="Q39" s="76">
        <v>-5112.9048311694787</v>
      </c>
      <c r="R39" s="77">
        <v>11844.927877901573</v>
      </c>
      <c r="S39" s="75">
        <v>0</v>
      </c>
      <c r="T39" s="76">
        <v>-10343.332952528173</v>
      </c>
      <c r="U39" s="77">
        <v>7916.2108920938772</v>
      </c>
    </row>
    <row r="40" spans="1:21" ht="17.25" x14ac:dyDescent="0.3">
      <c r="B40" s="78"/>
      <c r="C40" s="78"/>
      <c r="D40" s="79">
        <v>8400</v>
      </c>
      <c r="E40" s="80"/>
      <c r="G40" s="81">
        <v>104363017.38119787</v>
      </c>
      <c r="H40" s="81">
        <v>0</v>
      </c>
      <c r="I40" s="82">
        <v>104363017.38119787</v>
      </c>
      <c r="J40" s="82">
        <v>43320362.818378672</v>
      </c>
      <c r="K40" s="81">
        <v>14350278.228109354</v>
      </c>
      <c r="L40" s="81">
        <v>57670641.046488024</v>
      </c>
      <c r="M40" s="81">
        <v>46692376.334709845</v>
      </c>
      <c r="N40" s="81">
        <v>57670641.046488024</v>
      </c>
      <c r="O40" s="81">
        <v>118705.87885817874</v>
      </c>
      <c r="P40" s="81"/>
      <c r="Q40" s="81">
        <v>380653.68772454275</v>
      </c>
      <c r="R40" s="81">
        <v>373924.12249175238</v>
      </c>
      <c r="S40" s="81">
        <v>2.3786873613240513</v>
      </c>
      <c r="T40" s="81">
        <v>261153.31183852823</v>
      </c>
      <c r="U40" s="81">
        <v>249991.00924910186</v>
      </c>
    </row>
    <row r="41" spans="1:21" x14ac:dyDescent="0.3">
      <c r="B41" s="11" t="s">
        <v>67</v>
      </c>
      <c r="C41" s="78"/>
      <c r="D41" s="83"/>
      <c r="E41" s="3" t="s">
        <v>8</v>
      </c>
      <c r="F41" s="16">
        <v>4.7843412500000002E-2</v>
      </c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4" t="s">
        <v>68</v>
      </c>
      <c r="R41" s="85">
        <v>56757430.854987137</v>
      </c>
      <c r="S41" s="86">
        <v>9.1613799320741429E-2</v>
      </c>
      <c r="T41" s="86"/>
      <c r="U41" s="86"/>
    </row>
    <row r="42" spans="1:21" x14ac:dyDescent="0.3">
      <c r="A42" s="19" t="s">
        <v>9</v>
      </c>
      <c r="B42" s="20" t="s">
        <v>10</v>
      </c>
      <c r="C42" s="20"/>
      <c r="D42" s="20"/>
      <c r="E42" s="21"/>
      <c r="F42" s="21"/>
      <c r="G42" s="22" t="s">
        <v>11</v>
      </c>
      <c r="H42" s="23"/>
      <c r="I42" s="24"/>
      <c r="J42" s="20" t="s">
        <v>12</v>
      </c>
      <c r="K42" s="20"/>
      <c r="L42" s="20"/>
      <c r="M42" s="20" t="s">
        <v>13</v>
      </c>
      <c r="N42" s="20"/>
      <c r="O42" s="20"/>
      <c r="P42" s="22" t="s">
        <v>14</v>
      </c>
      <c r="Q42" s="23"/>
      <c r="R42" s="24"/>
      <c r="S42" s="22" t="s">
        <v>15</v>
      </c>
      <c r="T42" s="23"/>
      <c r="U42" s="24"/>
    </row>
    <row r="43" spans="1:21" x14ac:dyDescent="0.3">
      <c r="A43" s="25" t="s">
        <v>16</v>
      </c>
      <c r="B43" s="26" t="s">
        <v>17</v>
      </c>
      <c r="C43" s="27" t="s">
        <v>18</v>
      </c>
      <c r="D43" s="28" t="s">
        <v>19</v>
      </c>
      <c r="E43" s="26" t="s">
        <v>20</v>
      </c>
      <c r="F43" s="29" t="s">
        <v>21</v>
      </c>
      <c r="G43" s="29" t="s">
        <v>22</v>
      </c>
      <c r="H43" s="30" t="s">
        <v>5</v>
      </c>
      <c r="I43" s="31" t="s">
        <v>23</v>
      </c>
      <c r="J43" s="32" t="s">
        <v>24</v>
      </c>
      <c r="K43" s="29" t="s">
        <v>25</v>
      </c>
      <c r="L43" s="33" t="s">
        <v>26</v>
      </c>
      <c r="M43" s="26" t="s">
        <v>27</v>
      </c>
      <c r="N43" s="29" t="s">
        <v>28</v>
      </c>
      <c r="O43" s="33" t="s">
        <v>29</v>
      </c>
      <c r="P43" s="34" t="s">
        <v>30</v>
      </c>
      <c r="Q43" s="29" t="s">
        <v>69</v>
      </c>
      <c r="R43" s="31" t="s">
        <v>32</v>
      </c>
      <c r="S43" s="34" t="s">
        <v>70</v>
      </c>
      <c r="T43" s="29" t="s">
        <v>71</v>
      </c>
      <c r="U43" s="31" t="s">
        <v>72</v>
      </c>
    </row>
    <row r="44" spans="1:21" ht="17.25" x14ac:dyDescent="0.3">
      <c r="A44" s="35"/>
      <c r="B44" s="35" t="s">
        <v>73</v>
      </c>
      <c r="C44" s="36" t="s">
        <v>34</v>
      </c>
      <c r="D44" s="51">
        <v>500</v>
      </c>
      <c r="E44" s="38">
        <v>46044</v>
      </c>
      <c r="F44" s="39">
        <v>46036</v>
      </c>
      <c r="G44" s="52">
        <v>646062.55555555597</v>
      </c>
      <c r="H44" s="53">
        <v>0</v>
      </c>
      <c r="I44" s="42">
        <v>646062.55555555597</v>
      </c>
      <c r="J44" s="54">
        <v>2382624.4627148462</v>
      </c>
      <c r="K44" s="52">
        <v>-1647433.8618216268</v>
      </c>
      <c r="L44" s="44">
        <v>735190.60089321947</v>
      </c>
      <c r="M44" s="45">
        <v>-89128.045337663498</v>
      </c>
      <c r="N44" s="46">
        <v>735190.60089321947</v>
      </c>
      <c r="O44" s="55">
        <v>-2875.0982366988223</v>
      </c>
      <c r="P44" s="60"/>
      <c r="Q44" s="49">
        <v>4152.2355476222001</v>
      </c>
      <c r="R44" s="50">
        <v>24665.09742415807</v>
      </c>
      <c r="S44" s="87">
        <v>0</v>
      </c>
      <c r="T44" s="49">
        <v>-43726.66352595191</v>
      </c>
      <c r="U44" s="50">
        <v>16194.745522935234</v>
      </c>
    </row>
    <row r="45" spans="1:21" ht="17.25" x14ac:dyDescent="0.3">
      <c r="A45" s="35"/>
      <c r="B45" s="35" t="s">
        <v>74</v>
      </c>
      <c r="C45" s="36" t="s">
        <v>46</v>
      </c>
      <c r="D45" s="51">
        <v>500</v>
      </c>
      <c r="E45" s="38">
        <v>46045</v>
      </c>
      <c r="F45" s="39">
        <v>46037</v>
      </c>
      <c r="G45" s="52">
        <v>627902.88888888899</v>
      </c>
      <c r="H45" s="53">
        <v>0</v>
      </c>
      <c r="I45" s="42">
        <v>627902.88888888899</v>
      </c>
      <c r="J45" s="54">
        <v>1778167.9726620652</v>
      </c>
      <c r="K45" s="52">
        <v>-1328710.8922046286</v>
      </c>
      <c r="L45" s="44">
        <v>449457.08045743662</v>
      </c>
      <c r="M45" s="45">
        <v>178445.80843145237</v>
      </c>
      <c r="N45" s="46">
        <v>449457.08045743662</v>
      </c>
      <c r="O45" s="55">
        <v>5576.4315134828867</v>
      </c>
      <c r="P45" s="60"/>
      <c r="Q45" s="49">
        <v>34468.199759479088</v>
      </c>
      <c r="R45" s="50">
        <v>24658.190035145148</v>
      </c>
      <c r="S45" s="60">
        <v>0</v>
      </c>
      <c r="T45" s="49">
        <v>13862.469707368931</v>
      </c>
      <c r="U45" s="50">
        <v>16173.7246381843</v>
      </c>
    </row>
    <row r="46" spans="1:21" ht="17.25" x14ac:dyDescent="0.3">
      <c r="A46" s="35"/>
      <c r="B46" s="35" t="s">
        <v>75</v>
      </c>
      <c r="C46" s="36" t="s">
        <v>46</v>
      </c>
      <c r="D46" s="51">
        <v>300</v>
      </c>
      <c r="E46" s="38">
        <v>46056</v>
      </c>
      <c r="F46" s="39">
        <v>46049</v>
      </c>
      <c r="G46" s="52">
        <v>380310.566666667</v>
      </c>
      <c r="H46" s="53">
        <v>0</v>
      </c>
      <c r="I46" s="42">
        <v>380310.566666667</v>
      </c>
      <c r="J46" s="54">
        <v>879277.72364325356</v>
      </c>
      <c r="K46" s="52">
        <v>-588292.14203545812</v>
      </c>
      <c r="L46" s="44">
        <v>290985.58160779544</v>
      </c>
      <c r="M46" s="45">
        <v>89324.985058871564</v>
      </c>
      <c r="N46" s="46">
        <v>290985.58160779544</v>
      </c>
      <c r="O46" s="55">
        <v>2077.3252339272458</v>
      </c>
      <c r="P46" s="60"/>
      <c r="Q46" s="49">
        <v>20487.78977768583</v>
      </c>
      <c r="R46" s="50">
        <v>14489.566800057044</v>
      </c>
      <c r="S46" s="60">
        <v>0</v>
      </c>
      <c r="T46" s="49">
        <v>22547.280091413122</v>
      </c>
      <c r="U46" s="50">
        <v>9572.6251672601793</v>
      </c>
    </row>
    <row r="47" spans="1:21" ht="17.25" x14ac:dyDescent="0.3">
      <c r="A47" s="35"/>
      <c r="B47" s="35" t="s">
        <v>76</v>
      </c>
      <c r="C47" s="36" t="s">
        <v>34</v>
      </c>
      <c r="D47" s="51">
        <v>300</v>
      </c>
      <c r="E47" s="38">
        <v>46058</v>
      </c>
      <c r="F47" s="39">
        <v>46051</v>
      </c>
      <c r="G47" s="52">
        <v>373833.30000000005</v>
      </c>
      <c r="H47" s="53">
        <v>0</v>
      </c>
      <c r="I47" s="42">
        <v>373833.30000000005</v>
      </c>
      <c r="J47" s="54">
        <v>642463.81885234814</v>
      </c>
      <c r="K47" s="52">
        <v>-502463.55731492763</v>
      </c>
      <c r="L47" s="44">
        <v>140000.26153742051</v>
      </c>
      <c r="M47" s="45">
        <v>233833.03846257954</v>
      </c>
      <c r="N47" s="46">
        <v>140000.26153742051</v>
      </c>
      <c r="O47" s="55">
        <v>5196.2897436128787</v>
      </c>
      <c r="P47" s="60"/>
      <c r="Q47" s="49">
        <v>4325.5888740903174</v>
      </c>
      <c r="R47" s="50">
        <v>14261.663655374257</v>
      </c>
      <c r="S47" s="60">
        <v>0</v>
      </c>
      <c r="T47" s="49">
        <v>12315.110237664208</v>
      </c>
      <c r="U47" s="50">
        <v>9433.720359039231</v>
      </c>
    </row>
    <row r="48" spans="1:21" ht="17.25" x14ac:dyDescent="0.3">
      <c r="A48" s="35"/>
      <c r="B48" s="35" t="s">
        <v>77</v>
      </c>
      <c r="C48" s="36" t="s">
        <v>46</v>
      </c>
      <c r="D48" s="51">
        <v>200</v>
      </c>
      <c r="E48" s="38">
        <v>46065</v>
      </c>
      <c r="F48" s="39">
        <v>46058</v>
      </c>
      <c r="G48" s="52">
        <v>245990.13333333298</v>
      </c>
      <c r="H48" s="53">
        <v>0</v>
      </c>
      <c r="I48" s="42">
        <v>245990.13333333298</v>
      </c>
      <c r="J48" s="54">
        <v>624413.5011503587</v>
      </c>
      <c r="K48" s="52">
        <v>-505989.23940993368</v>
      </c>
      <c r="L48" s="44">
        <v>118424.26174042502</v>
      </c>
      <c r="M48" s="45">
        <v>127565.87159290796</v>
      </c>
      <c r="N48" s="46">
        <v>118424.26174042502</v>
      </c>
      <c r="O48" s="55">
        <v>2453.1898383251532</v>
      </c>
      <c r="P48" s="60"/>
      <c r="Q48" s="49">
        <v>10679.016576080365</v>
      </c>
      <c r="R48" s="50">
        <v>9647.4915998309734</v>
      </c>
      <c r="S48" s="60">
        <v>0</v>
      </c>
      <c r="T48" s="49">
        <v>19734.20961478191</v>
      </c>
      <c r="U48" s="50">
        <v>6417.3731149251689</v>
      </c>
    </row>
    <row r="49" spans="1:21" ht="17.25" x14ac:dyDescent="0.3">
      <c r="A49" s="35"/>
      <c r="B49" s="35" t="s">
        <v>78</v>
      </c>
      <c r="C49" s="36" t="s">
        <v>46</v>
      </c>
      <c r="D49" s="51">
        <v>200</v>
      </c>
      <c r="E49" s="38">
        <v>46072</v>
      </c>
      <c r="F49" s="39">
        <v>46062</v>
      </c>
      <c r="G49" s="52">
        <v>258704.28888888899</v>
      </c>
      <c r="H49" s="53">
        <v>0</v>
      </c>
      <c r="I49" s="42">
        <v>258704.28888888899</v>
      </c>
      <c r="J49" s="54">
        <v>635293.25585329544</v>
      </c>
      <c r="K49" s="52">
        <v>-495768.06130734878</v>
      </c>
      <c r="L49" s="44">
        <v>139525.19454594667</v>
      </c>
      <c r="M49" s="45">
        <v>119179.09434294232</v>
      </c>
      <c r="N49" s="46">
        <v>139525.19454594667</v>
      </c>
      <c r="O49" s="55">
        <v>2019.9846498803784</v>
      </c>
      <c r="P49" s="60"/>
      <c r="Q49" s="49">
        <v>8897.0787607444363</v>
      </c>
      <c r="R49" s="50">
        <v>10350.093825792006</v>
      </c>
      <c r="S49" s="60">
        <v>0</v>
      </c>
      <c r="T49" s="49">
        <v>13505.175591167354</v>
      </c>
      <c r="U49" s="50">
        <v>6864.2245138694416</v>
      </c>
    </row>
    <row r="50" spans="1:21" ht="17.25" x14ac:dyDescent="0.3">
      <c r="A50" s="35"/>
      <c r="B50" s="35" t="s">
        <v>79</v>
      </c>
      <c r="C50" s="36" t="s">
        <v>46</v>
      </c>
      <c r="D50" s="51">
        <v>200</v>
      </c>
      <c r="E50" s="38">
        <v>46079</v>
      </c>
      <c r="F50" s="39">
        <v>46072</v>
      </c>
      <c r="G50" s="52">
        <v>229409.11111111101</v>
      </c>
      <c r="H50" s="53">
        <v>0</v>
      </c>
      <c r="I50" s="42">
        <v>229409.11111111101</v>
      </c>
      <c r="J50" s="54">
        <v>101401.97895520368</v>
      </c>
      <c r="K50" s="52">
        <v>12052.053051833807</v>
      </c>
      <c r="L50" s="44">
        <v>113454.03200703749</v>
      </c>
      <c r="M50" s="45">
        <v>115955.07910407352</v>
      </c>
      <c r="N50" s="46">
        <v>113454.03200703749</v>
      </c>
      <c r="O50" s="55">
        <v>1756.895137940508</v>
      </c>
      <c r="P50" s="60"/>
      <c r="Q50" s="49">
        <v>12186.511379416756</v>
      </c>
      <c r="R50" s="50">
        <v>9402.9815109602496</v>
      </c>
      <c r="S50" s="60">
        <v>0</v>
      </c>
      <c r="T50" s="49">
        <v>12627.659816406565</v>
      </c>
      <c r="U50" s="50">
        <v>6278.8847335639221</v>
      </c>
    </row>
    <row r="51" spans="1:21" ht="17.25" x14ac:dyDescent="0.3">
      <c r="A51" s="35"/>
      <c r="B51" s="35" t="s">
        <v>80</v>
      </c>
      <c r="C51" s="36" t="s">
        <v>46</v>
      </c>
      <c r="D51" s="51">
        <v>200</v>
      </c>
      <c r="E51" s="38">
        <v>46104</v>
      </c>
      <c r="F51" s="39">
        <v>46097</v>
      </c>
      <c r="G51" s="52">
        <v>220125.35</v>
      </c>
      <c r="H51" s="53">
        <v>0</v>
      </c>
      <c r="I51" s="42">
        <v>220125.35</v>
      </c>
      <c r="J51" s="54">
        <v>-62156.438624983086</v>
      </c>
      <c r="K51" s="52">
        <v>33965.012856949521</v>
      </c>
      <c r="L51" s="44">
        <v>-28191.425768033565</v>
      </c>
      <c r="M51" s="45">
        <v>248316.77576803358</v>
      </c>
      <c r="N51" s="46">
        <v>-28191.425768033572</v>
      </c>
      <c r="O51" s="55">
        <v>2728.7557776706985</v>
      </c>
      <c r="P51" s="60">
        <v>194579.95398565437</v>
      </c>
      <c r="Q51" s="49">
        <v>-10682.392585841939</v>
      </c>
      <c r="R51" s="50">
        <v>8352.384515959071</v>
      </c>
      <c r="S51" s="60">
        <v>194579.95398565437</v>
      </c>
      <c r="T51" s="49">
        <v>-3267.2042492083274</v>
      </c>
      <c r="U51" s="50">
        <v>5303.1550843631267</v>
      </c>
    </row>
    <row r="52" spans="1:21" ht="17.25" x14ac:dyDescent="0.3">
      <c r="A52" s="35"/>
      <c r="B52" s="35" t="s">
        <v>81</v>
      </c>
      <c r="C52" s="36" t="s">
        <v>46</v>
      </c>
      <c r="D52" s="51">
        <v>300</v>
      </c>
      <c r="E52" s="38">
        <v>46119</v>
      </c>
      <c r="F52" s="39">
        <v>46021</v>
      </c>
      <c r="G52" s="52">
        <v>606995.55253623251</v>
      </c>
      <c r="H52" s="53">
        <v>0</v>
      </c>
      <c r="I52" s="42">
        <v>606995.55253623251</v>
      </c>
      <c r="J52" s="54">
        <v>-675969.8003789417</v>
      </c>
      <c r="K52" s="52">
        <v>1012531.2132900257</v>
      </c>
      <c r="L52" s="44">
        <v>336561.41291108401</v>
      </c>
      <c r="M52" s="45">
        <v>270434.1396251485</v>
      </c>
      <c r="N52" s="46">
        <v>336561.41291108401</v>
      </c>
      <c r="O52" s="55">
        <v>2551.2654681617782</v>
      </c>
      <c r="P52" s="60"/>
      <c r="Q52" s="49">
        <v>30436.26141642686</v>
      </c>
      <c r="R52" s="50">
        <v>11836.072722041194</v>
      </c>
      <c r="S52" s="60">
        <v>0</v>
      </c>
      <c r="T52" s="49">
        <v>3998.4454726870754</v>
      </c>
      <c r="U52" s="50">
        <v>7763.3943642651138</v>
      </c>
    </row>
    <row r="53" spans="1:21" ht="17.25" x14ac:dyDescent="0.3">
      <c r="A53" s="35"/>
      <c r="B53" s="35" t="s">
        <v>82</v>
      </c>
      <c r="C53" s="36" t="s">
        <v>46</v>
      </c>
      <c r="D53" s="51">
        <v>200</v>
      </c>
      <c r="E53" s="38">
        <v>46126</v>
      </c>
      <c r="F53" s="39">
        <v>46029</v>
      </c>
      <c r="G53" s="52">
        <v>375995.7782608695</v>
      </c>
      <c r="H53" s="53">
        <v>0</v>
      </c>
      <c r="I53" s="42">
        <v>375995.7782608695</v>
      </c>
      <c r="J53" s="54">
        <v>667490.99167681695</v>
      </c>
      <c r="K53" s="52">
        <v>-527594.25429692783</v>
      </c>
      <c r="L53" s="44">
        <v>139896.73737988912</v>
      </c>
      <c r="M53" s="45">
        <v>236099.04088098038</v>
      </c>
      <c r="N53" s="46">
        <v>139896.73737988912</v>
      </c>
      <c r="O53" s="55">
        <v>2089.3720431945167</v>
      </c>
      <c r="P53" s="60"/>
      <c r="Q53" s="49">
        <v>7725.4195792668907</v>
      </c>
      <c r="R53" s="50">
        <v>7725.3191354413284</v>
      </c>
      <c r="S53" s="48">
        <v>0</v>
      </c>
      <c r="T53" s="49">
        <v>5120.7249915869324</v>
      </c>
      <c r="U53" s="50">
        <v>5120.6244718063681</v>
      </c>
    </row>
    <row r="54" spans="1:21" ht="17.25" x14ac:dyDescent="0.3">
      <c r="A54" s="35"/>
      <c r="B54" s="35" t="s">
        <v>83</v>
      </c>
      <c r="C54" s="36" t="s">
        <v>46</v>
      </c>
      <c r="D54" s="51">
        <v>300</v>
      </c>
      <c r="E54" s="38">
        <v>46128</v>
      </c>
      <c r="F54" s="39">
        <v>46031</v>
      </c>
      <c r="G54" s="52">
        <v>609021.72028985445</v>
      </c>
      <c r="H54" s="53">
        <v>0</v>
      </c>
      <c r="I54" s="42">
        <v>609021.72028985445</v>
      </c>
      <c r="J54" s="54">
        <v>635444.78380024363</v>
      </c>
      <c r="K54" s="52">
        <v>-413484.56658546487</v>
      </c>
      <c r="L54" s="44">
        <v>221960.21721477876</v>
      </c>
      <c r="M54" s="45">
        <v>387061.50307507569</v>
      </c>
      <c r="N54" s="46">
        <v>221960.21721477876</v>
      </c>
      <c r="O54" s="55">
        <v>3365.752200652832</v>
      </c>
      <c r="P54" s="60"/>
      <c r="Q54" s="49">
        <v>11613.998156209826</v>
      </c>
      <c r="R54" s="50">
        <v>11613.982530705543</v>
      </c>
      <c r="S54" s="60">
        <v>0</v>
      </c>
      <c r="T54" s="49">
        <v>7711.0593485453574</v>
      </c>
      <c r="U54" s="50">
        <v>7711.0748866599752</v>
      </c>
    </row>
    <row r="55" spans="1:21" ht="17.25" x14ac:dyDescent="0.3">
      <c r="A55" s="35"/>
      <c r="B55" s="35" t="s">
        <v>84</v>
      </c>
      <c r="C55" s="36" t="s">
        <v>46</v>
      </c>
      <c r="D55" s="51">
        <v>300</v>
      </c>
      <c r="E55" s="38">
        <v>46134</v>
      </c>
      <c r="F55" s="39">
        <v>46036</v>
      </c>
      <c r="G55" s="52">
        <v>660022.07681159349</v>
      </c>
      <c r="H55" s="53">
        <v>0</v>
      </c>
      <c r="I55" s="42">
        <v>660022.07681159349</v>
      </c>
      <c r="J55" s="54">
        <v>871350.79679252941</v>
      </c>
      <c r="K55" s="52">
        <v>-645483.72445527138</v>
      </c>
      <c r="L55" s="44">
        <v>225867.07233725803</v>
      </c>
      <c r="M55" s="45">
        <v>434155.00447433547</v>
      </c>
      <c r="N55" s="46">
        <v>225867.07233725803</v>
      </c>
      <c r="O55" s="55">
        <v>3588.0578882176483</v>
      </c>
      <c r="P55" s="60"/>
      <c r="Q55" s="49">
        <v>12777.747976376093</v>
      </c>
      <c r="R55" s="50">
        <v>12777.852288535534</v>
      </c>
      <c r="S55" s="60">
        <v>0</v>
      </c>
      <c r="T55" s="49">
        <v>8409.9091230690246</v>
      </c>
      <c r="U55" s="50">
        <v>8409.8945333255688</v>
      </c>
    </row>
    <row r="56" spans="1:21" ht="17.25" x14ac:dyDescent="0.3">
      <c r="A56" s="35"/>
      <c r="B56" s="35" t="s">
        <v>85</v>
      </c>
      <c r="C56" s="36" t="s">
        <v>46</v>
      </c>
      <c r="D56" s="51">
        <v>300</v>
      </c>
      <c r="E56" s="38">
        <v>46506</v>
      </c>
      <c r="F56" s="39">
        <v>46044</v>
      </c>
      <c r="G56" s="52">
        <v>1826357.6884057955</v>
      </c>
      <c r="H56" s="53">
        <v>0</v>
      </c>
      <c r="I56" s="42">
        <v>1826357.6884057955</v>
      </c>
      <c r="J56" s="54">
        <v>105927.30613073488</v>
      </c>
      <c r="K56" s="52">
        <v>42135.109284070917</v>
      </c>
      <c r="L56" s="44">
        <v>148062.41541480582</v>
      </c>
      <c r="M56" s="45">
        <v>1678295.2729909897</v>
      </c>
      <c r="N56" s="46">
        <v>148062.41541480576</v>
      </c>
      <c r="O56" s="55">
        <v>3404.2500466348674</v>
      </c>
      <c r="P56" s="60"/>
      <c r="Q56" s="49">
        <v>18043.329793271943</v>
      </c>
      <c r="R56" s="50">
        <v>11975.846123832045</v>
      </c>
      <c r="S56" s="60">
        <v>0</v>
      </c>
      <c r="T56" s="49">
        <v>10303.455219842377</v>
      </c>
      <c r="U56" s="50">
        <v>7937.9471743680188</v>
      </c>
    </row>
    <row r="57" spans="1:21" ht="17.25" x14ac:dyDescent="0.3">
      <c r="A57" s="35"/>
      <c r="B57" s="35" t="s">
        <v>86</v>
      </c>
      <c r="C57" s="36" t="s">
        <v>46</v>
      </c>
      <c r="D57" s="51">
        <v>300</v>
      </c>
      <c r="E57" s="38">
        <v>46519</v>
      </c>
      <c r="F57" s="39">
        <v>46058</v>
      </c>
      <c r="G57" s="52">
        <v>1677971.947826087</v>
      </c>
      <c r="H57" s="53">
        <v>0</v>
      </c>
      <c r="I57" s="42">
        <v>1677971.947826087</v>
      </c>
      <c r="J57" s="54">
        <v>833910.06529976998</v>
      </c>
      <c r="K57" s="52">
        <v>-764442.82277710107</v>
      </c>
      <c r="L57" s="44">
        <v>69467.242522668908</v>
      </c>
      <c r="M57" s="45">
        <v>1608504.705303418</v>
      </c>
      <c r="N57" s="46">
        <v>69467.242522669025</v>
      </c>
      <c r="O57" s="55">
        <v>3178.8630539593241</v>
      </c>
      <c r="P57" s="60"/>
      <c r="Q57" s="49">
        <v>8426.0755403883668</v>
      </c>
      <c r="R57" s="50">
        <v>11221.649316782277</v>
      </c>
      <c r="S57" s="60">
        <v>0</v>
      </c>
      <c r="T57" s="49">
        <v>4844.9963813204158</v>
      </c>
      <c r="U57" s="50">
        <v>7522.9398457583884</v>
      </c>
    </row>
    <row r="58" spans="1:21" ht="17.25" x14ac:dyDescent="0.3">
      <c r="A58" s="35"/>
      <c r="B58" s="35" t="s">
        <v>87</v>
      </c>
      <c r="C58" s="36" t="s">
        <v>46</v>
      </c>
      <c r="D58" s="51">
        <v>300</v>
      </c>
      <c r="E58" s="38">
        <v>46527</v>
      </c>
      <c r="F58" s="39">
        <v>46063</v>
      </c>
      <c r="G58" s="52">
        <v>2050246.8152173897</v>
      </c>
      <c r="H58" s="53">
        <v>0</v>
      </c>
      <c r="I58" s="42">
        <v>2050246.8152173897</v>
      </c>
      <c r="J58" s="54">
        <v>856516.81621329009</v>
      </c>
      <c r="K58" s="52">
        <v>-725178.12288537016</v>
      </c>
      <c r="L58" s="44">
        <v>131338.69332791993</v>
      </c>
      <c r="M58" s="45">
        <v>1918908.1218894697</v>
      </c>
      <c r="N58" s="46">
        <v>131338.69332792005</v>
      </c>
      <c r="O58" s="55">
        <v>3733.2842838316533</v>
      </c>
      <c r="P58" s="60"/>
      <c r="Q58" s="49">
        <v>13891.083426661979</v>
      </c>
      <c r="R58" s="50">
        <v>13891.142536301297</v>
      </c>
      <c r="S58" s="60">
        <v>0</v>
      </c>
      <c r="T58" s="49">
        <v>9246.6746439231792</v>
      </c>
      <c r="U58" s="50">
        <v>9246.7045656435512</v>
      </c>
    </row>
    <row r="59" spans="1:21" ht="17.25" x14ac:dyDescent="0.3">
      <c r="A59" s="35"/>
      <c r="B59" s="35" t="s">
        <v>88</v>
      </c>
      <c r="C59" s="36" t="s">
        <v>46</v>
      </c>
      <c r="D59" s="51">
        <v>300</v>
      </c>
      <c r="E59" s="38">
        <v>46534</v>
      </c>
      <c r="F59" s="39">
        <v>46073</v>
      </c>
      <c r="G59" s="52">
        <v>1852067.0152173915</v>
      </c>
      <c r="H59" s="53">
        <v>0</v>
      </c>
      <c r="I59" s="42">
        <v>1852067.0152173915</v>
      </c>
      <c r="J59" s="54">
        <v>930196.45960211125</v>
      </c>
      <c r="K59" s="52">
        <v>-808170.67938827991</v>
      </c>
      <c r="L59" s="44">
        <v>122025.78021383134</v>
      </c>
      <c r="M59" s="45">
        <v>1730041.2350035603</v>
      </c>
      <c r="N59" s="46">
        <v>122025.78021383123</v>
      </c>
      <c r="O59" s="55">
        <v>3320.6165739031867</v>
      </c>
      <c r="P59" s="60"/>
      <c r="Q59" s="49">
        <v>24760.538769221574</v>
      </c>
      <c r="R59" s="50">
        <v>12780.124108046657</v>
      </c>
      <c r="S59" s="60">
        <v>0</v>
      </c>
      <c r="T59" s="49">
        <v>17624.449656019264</v>
      </c>
      <c r="U59" s="50">
        <v>8576.9050368140015</v>
      </c>
    </row>
    <row r="60" spans="1:21" ht="17.25" x14ac:dyDescent="0.3">
      <c r="A60" s="35"/>
      <c r="B60" s="35" t="s">
        <v>89</v>
      </c>
      <c r="C60" s="36" t="s">
        <v>46</v>
      </c>
      <c r="D60" s="51">
        <v>100</v>
      </c>
      <c r="E60" s="38">
        <v>46591</v>
      </c>
      <c r="F60" s="39">
        <v>46037</v>
      </c>
      <c r="G60" s="52">
        <v>2396526.1806763303</v>
      </c>
      <c r="H60" s="53">
        <v>0</v>
      </c>
      <c r="I60" s="42">
        <v>2396526.1806763303</v>
      </c>
      <c r="J60" s="54">
        <v>509527.33150629315</v>
      </c>
      <c r="K60" s="52">
        <v>-203763.45987278386</v>
      </c>
      <c r="L60" s="44">
        <v>305763.87163350929</v>
      </c>
      <c r="M60" s="45">
        <v>2090762.3090428212</v>
      </c>
      <c r="N60" s="46">
        <v>305763.87163350917</v>
      </c>
      <c r="O60" s="55">
        <v>3617.2358287938082</v>
      </c>
      <c r="P60" s="60"/>
      <c r="Q60" s="49">
        <v>4339.433651634492</v>
      </c>
      <c r="R60" s="50">
        <v>4339.3683574936586</v>
      </c>
      <c r="S60" s="60">
        <v>0</v>
      </c>
      <c r="T60" s="49">
        <v>2874.7828168291016</v>
      </c>
      <c r="U60" s="50">
        <v>2874.752799185866</v>
      </c>
    </row>
    <row r="61" spans="1:21" ht="17.25" x14ac:dyDescent="0.3">
      <c r="A61" s="35"/>
      <c r="B61" s="35" t="s">
        <v>90</v>
      </c>
      <c r="C61" s="36" t="s">
        <v>46</v>
      </c>
      <c r="D61" s="51">
        <v>300</v>
      </c>
      <c r="E61" s="38">
        <v>46619</v>
      </c>
      <c r="F61" s="39">
        <v>46063</v>
      </c>
      <c r="G61" s="52">
        <v>8543394.4311594181</v>
      </c>
      <c r="H61" s="53">
        <v>0</v>
      </c>
      <c r="I61" s="42">
        <v>8543394.4311594181</v>
      </c>
      <c r="J61" s="54">
        <v>938707.8569495196</v>
      </c>
      <c r="K61" s="52">
        <v>21884.8379347679</v>
      </c>
      <c r="L61" s="44">
        <v>960592.69488428754</v>
      </c>
      <c r="M61" s="45">
        <v>7582801.7362751309</v>
      </c>
      <c r="N61" s="46">
        <v>960592.69488428719</v>
      </c>
      <c r="O61" s="55">
        <v>12512.874152269193</v>
      </c>
      <c r="P61" s="60"/>
      <c r="Q61" s="49">
        <v>5673.2078695438104</v>
      </c>
      <c r="R61" s="50">
        <v>17436.402166510466</v>
      </c>
      <c r="S61" s="60">
        <v>0</v>
      </c>
      <c r="T61" s="49">
        <v>16605.768943318166</v>
      </c>
      <c r="U61" s="50">
        <v>11565.122997866478</v>
      </c>
    </row>
    <row r="62" spans="1:21" ht="17.25" x14ac:dyDescent="0.3">
      <c r="A62" s="35"/>
      <c r="B62" s="35" t="s">
        <v>91</v>
      </c>
      <c r="C62" s="36" t="s">
        <v>46</v>
      </c>
      <c r="D62" s="51">
        <v>200</v>
      </c>
      <c r="E62" s="38">
        <v>46625</v>
      </c>
      <c r="F62" s="39">
        <v>46072</v>
      </c>
      <c r="G62" s="52">
        <v>5838456.6618357478</v>
      </c>
      <c r="H62" s="53">
        <v>0</v>
      </c>
      <c r="I62" s="42">
        <v>5838456.6618357478</v>
      </c>
      <c r="J62" s="54">
        <v>624858.82460414129</v>
      </c>
      <c r="K62" s="52">
        <v>1065.6902151847341</v>
      </c>
      <c r="L62" s="44">
        <v>625924.514819326</v>
      </c>
      <c r="M62" s="45">
        <v>5212532.1470164219</v>
      </c>
      <c r="N62" s="46">
        <v>625924.51481932588</v>
      </c>
      <c r="O62" s="55">
        <v>8517.2093905497095</v>
      </c>
      <c r="P62" s="60"/>
      <c r="Q62" s="49">
        <v>12240.980056712637</v>
      </c>
      <c r="R62" s="50">
        <v>12241.019872918958</v>
      </c>
      <c r="S62" s="60">
        <v>0</v>
      </c>
      <c r="T62" s="49">
        <v>8138.2428182428703</v>
      </c>
      <c r="U62" s="50">
        <v>8138.2036196361296</v>
      </c>
    </row>
    <row r="63" spans="1:21" ht="17.25" x14ac:dyDescent="0.3">
      <c r="A63" s="62"/>
      <c r="B63" s="62" t="s">
        <v>92</v>
      </c>
      <c r="C63" s="63" t="s">
        <v>34</v>
      </c>
      <c r="D63" s="64">
        <v>300</v>
      </c>
      <c r="E63" s="65">
        <v>46708</v>
      </c>
      <c r="F63" s="66">
        <v>46062</v>
      </c>
      <c r="G63" s="67">
        <v>2723334.2464538957</v>
      </c>
      <c r="H63" s="88">
        <v>0</v>
      </c>
      <c r="I63" s="89">
        <v>2723334.2464538957</v>
      </c>
      <c r="J63" s="70">
        <v>-462743.10935173911</v>
      </c>
      <c r="K63" s="67">
        <v>605926.86899445124</v>
      </c>
      <c r="L63" s="71">
        <v>143183.75964271213</v>
      </c>
      <c r="M63" s="72">
        <v>2580150.4868111834</v>
      </c>
      <c r="N63" s="73">
        <v>143183.75964271231</v>
      </c>
      <c r="O63" s="74">
        <v>3712.4467436132136</v>
      </c>
      <c r="P63" s="75"/>
      <c r="Q63" s="76">
        <v>13472.554110451878</v>
      </c>
      <c r="R63" s="77">
        <v>13473.244333599723</v>
      </c>
      <c r="S63" s="75">
        <v>0</v>
      </c>
      <c r="T63" s="76">
        <v>8952.3217873100366</v>
      </c>
      <c r="U63" s="77">
        <v>8952.6967040715972</v>
      </c>
    </row>
    <row r="64" spans="1:21" ht="17.25" x14ac:dyDescent="0.3">
      <c r="B64" s="78"/>
      <c r="C64" s="78"/>
      <c r="D64" s="79">
        <v>5600</v>
      </c>
      <c r="E64" s="80"/>
      <c r="G64" s="90">
        <v>32142728.309135053</v>
      </c>
      <c r="H64" s="90">
        <v>0</v>
      </c>
      <c r="I64" s="91">
        <v>32142728.309135053</v>
      </c>
      <c r="J64" s="91">
        <v>12816704.598051155</v>
      </c>
      <c r="K64" s="90">
        <v>-7427214.59872784</v>
      </c>
      <c r="L64" s="90">
        <v>5389489.9993233187</v>
      </c>
      <c r="M64" s="90">
        <v>26753238.309811734</v>
      </c>
      <c r="N64" s="90">
        <v>5389489.9993233196</v>
      </c>
      <c r="O64" s="90">
        <v>72525.001331922642</v>
      </c>
      <c r="P64" s="90"/>
      <c r="Q64" s="90">
        <v>247914.65843544342</v>
      </c>
      <c r="R64" s="90">
        <v>257139.49285948547</v>
      </c>
      <c r="S64" s="92">
        <v>0.17656316478607292</v>
      </c>
      <c r="T64" s="90">
        <v>151428.86848633565</v>
      </c>
      <c r="U64" s="90">
        <v>170058.71413354168</v>
      </c>
    </row>
    <row r="65" spans="1:21" ht="17.25" x14ac:dyDescent="0.3">
      <c r="A65" s="78"/>
      <c r="B65" s="11" t="s">
        <v>93</v>
      </c>
      <c r="C65" s="78"/>
      <c r="D65" s="83"/>
      <c r="E65" s="3" t="s">
        <v>8</v>
      </c>
      <c r="F65" s="16">
        <v>4.9658299999999995E-2</v>
      </c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4" t="s">
        <v>68</v>
      </c>
      <c r="R65" s="93">
        <v>4959028.348558669</v>
      </c>
      <c r="S65" s="94">
        <v>0.47922993214050341</v>
      </c>
      <c r="T65" s="95"/>
      <c r="U65" s="95"/>
    </row>
    <row r="66" spans="1:21" x14ac:dyDescent="0.3">
      <c r="A66" s="19" t="s">
        <v>9</v>
      </c>
      <c r="B66" s="20" t="s">
        <v>10</v>
      </c>
      <c r="C66" s="20"/>
      <c r="D66" s="20"/>
      <c r="E66" s="21"/>
      <c r="F66" s="21"/>
      <c r="G66" s="22" t="s">
        <v>11</v>
      </c>
      <c r="H66" s="23"/>
      <c r="I66" s="24"/>
      <c r="J66" s="20" t="s">
        <v>12</v>
      </c>
      <c r="K66" s="20"/>
      <c r="L66" s="20"/>
      <c r="M66" s="20" t="s">
        <v>13</v>
      </c>
      <c r="N66" s="20"/>
      <c r="O66" s="20"/>
      <c r="P66" s="22" t="s">
        <v>14</v>
      </c>
      <c r="Q66" s="23"/>
      <c r="R66" s="24"/>
      <c r="S66" s="22" t="s">
        <v>15</v>
      </c>
      <c r="T66" s="23"/>
      <c r="U66" s="24"/>
    </row>
    <row r="67" spans="1:21" x14ac:dyDescent="0.3">
      <c r="A67" s="25" t="s">
        <v>16</v>
      </c>
      <c r="B67" s="26" t="s">
        <v>17</v>
      </c>
      <c r="C67" s="27" t="s">
        <v>18</v>
      </c>
      <c r="D67" s="28" t="s">
        <v>19</v>
      </c>
      <c r="E67" s="26" t="s">
        <v>20</v>
      </c>
      <c r="F67" s="29" t="s">
        <v>21</v>
      </c>
      <c r="G67" s="29" t="s">
        <v>22</v>
      </c>
      <c r="H67" s="30" t="s">
        <v>5</v>
      </c>
      <c r="I67" s="31" t="s">
        <v>23</v>
      </c>
      <c r="J67" s="32" t="s">
        <v>24</v>
      </c>
      <c r="K67" s="29" t="s">
        <v>25</v>
      </c>
      <c r="L67" s="33" t="s">
        <v>26</v>
      </c>
      <c r="M67" s="26" t="s">
        <v>27</v>
      </c>
      <c r="N67" s="29" t="s">
        <v>28</v>
      </c>
      <c r="O67" s="33" t="s">
        <v>29</v>
      </c>
      <c r="P67" s="34" t="s">
        <v>30</v>
      </c>
      <c r="Q67" s="30" t="s">
        <v>69</v>
      </c>
      <c r="R67" s="31" t="s">
        <v>32</v>
      </c>
      <c r="S67" s="34" t="s">
        <v>70</v>
      </c>
      <c r="T67" s="30" t="s">
        <v>71</v>
      </c>
      <c r="U67" s="31" t="s">
        <v>72</v>
      </c>
    </row>
    <row r="68" spans="1:21" ht="17.25" x14ac:dyDescent="0.3">
      <c r="A68" s="35"/>
      <c r="B68" s="35" t="s">
        <v>94</v>
      </c>
      <c r="C68" s="36" t="s">
        <v>34</v>
      </c>
      <c r="D68" s="37">
        <v>300</v>
      </c>
      <c r="E68" s="38">
        <v>46015</v>
      </c>
      <c r="F68" s="39">
        <v>46013</v>
      </c>
      <c r="G68" s="40">
        <v>1436655</v>
      </c>
      <c r="H68" s="41">
        <v>18644.124828280474</v>
      </c>
      <c r="I68" s="42">
        <v>1436655</v>
      </c>
      <c r="J68" s="43">
        <v>1642356.1459602113</v>
      </c>
      <c r="K68" s="40">
        <v>206185.82047638381</v>
      </c>
      <c r="L68" s="44">
        <v>1848541.9664365952</v>
      </c>
      <c r="M68" s="45">
        <v>-411886.96643659519</v>
      </c>
      <c r="N68" s="46">
        <v>1848541.9664365952</v>
      </c>
      <c r="O68" s="47">
        <v>-205943.4832182976</v>
      </c>
      <c r="P68" s="96"/>
      <c r="Q68" s="97">
        <v>48769.318323515123</v>
      </c>
      <c r="R68" s="98">
        <v>14742.400200729026</v>
      </c>
      <c r="S68" s="96">
        <v>0</v>
      </c>
      <c r="T68" s="97">
        <v>18045.033726061694</v>
      </c>
      <c r="U68" s="98">
        <v>9472.7889232342131</v>
      </c>
    </row>
    <row r="69" spans="1:21" ht="17.25" x14ac:dyDescent="0.3">
      <c r="A69" s="62"/>
      <c r="B69" s="62" t="s">
        <v>95</v>
      </c>
      <c r="C69" s="63" t="s">
        <v>34</v>
      </c>
      <c r="D69" s="99">
        <v>300</v>
      </c>
      <c r="E69" s="65">
        <v>46017</v>
      </c>
      <c r="F69" s="66">
        <v>46014</v>
      </c>
      <c r="G69" s="100">
        <v>1521563.0416666698</v>
      </c>
      <c r="H69" s="101"/>
      <c r="I69" s="89">
        <v>1521563.0416666698</v>
      </c>
      <c r="J69" s="102">
        <v>1837937.8336040061</v>
      </c>
      <c r="K69" s="100">
        <v>112855.24462038165</v>
      </c>
      <c r="L69" s="71">
        <v>1950793.0782243877</v>
      </c>
      <c r="M69" s="72">
        <v>-429230.03655771795</v>
      </c>
      <c r="N69" s="73">
        <v>1950793.0782243877</v>
      </c>
      <c r="O69" s="103">
        <v>-107307.50913942949</v>
      </c>
      <c r="P69" s="104"/>
      <c r="Q69" s="76">
        <v>16653.888788434677</v>
      </c>
      <c r="R69" s="77">
        <v>16901.273124262632</v>
      </c>
      <c r="S69" s="104">
        <v>0</v>
      </c>
      <c r="T69" s="76">
        <v>20035.306087913457</v>
      </c>
      <c r="U69" s="77">
        <v>10954.588778668432</v>
      </c>
    </row>
    <row r="70" spans="1:21" ht="17.25" x14ac:dyDescent="0.3">
      <c r="B70" s="78"/>
      <c r="C70" s="78"/>
      <c r="D70" s="79">
        <v>600</v>
      </c>
      <c r="E70" s="80"/>
      <c r="G70" s="90">
        <v>2958218.0416666698</v>
      </c>
      <c r="H70" s="90">
        <v>18644.124828280474</v>
      </c>
      <c r="I70" s="91">
        <v>2958218.0416666698</v>
      </c>
      <c r="J70" s="91">
        <v>3480293.9795642174</v>
      </c>
      <c r="K70" s="90">
        <v>319041.06509676547</v>
      </c>
      <c r="L70" s="90">
        <v>3799335.0446609827</v>
      </c>
      <c r="M70" s="90">
        <v>-841117.00299431314</v>
      </c>
      <c r="N70" s="90">
        <v>3799335.0446609827</v>
      </c>
      <c r="O70" s="90">
        <v>-313250.99235772708</v>
      </c>
      <c r="P70" s="90"/>
      <c r="Q70" s="90">
        <v>65423.2071119498</v>
      </c>
      <c r="R70" s="90">
        <v>31643.673324991658</v>
      </c>
      <c r="S70" s="105">
        <v>1.898164351543439</v>
      </c>
      <c r="T70" s="90">
        <v>38080.339813975152</v>
      </c>
      <c r="U70" s="90">
        <v>20427.377701902646</v>
      </c>
    </row>
    <row r="71" spans="1:21" ht="17.25" x14ac:dyDescent="0.3">
      <c r="B71" s="11" t="s">
        <v>96</v>
      </c>
      <c r="C71" s="78"/>
      <c r="D71" s="83">
        <v>0</v>
      </c>
      <c r="E71" s="3" t="s">
        <v>8</v>
      </c>
      <c r="F71" s="16">
        <v>0</v>
      </c>
      <c r="G71" s="83">
        <v>3.8946550508993649E-3</v>
      </c>
      <c r="H71" s="83">
        <v>-5.1739095900861292E-3</v>
      </c>
      <c r="I71" s="83">
        <v>3.8946550508993649E-3</v>
      </c>
      <c r="J71" s="83">
        <v>-0.55429202908694186</v>
      </c>
      <c r="K71" s="83">
        <v>-1.0748384351952451</v>
      </c>
      <c r="L71" s="83">
        <v>7.1624364153435316E-2</v>
      </c>
      <c r="M71" s="83">
        <v>0.40500735183813891</v>
      </c>
      <c r="N71" s="83">
        <v>7.1624364153435316E-2</v>
      </c>
      <c r="O71" s="83">
        <v>13.13953070853823</v>
      </c>
      <c r="P71" s="83"/>
      <c r="Q71" s="84" t="s">
        <v>68</v>
      </c>
      <c r="R71" s="93">
        <v>771978.59791582089</v>
      </c>
      <c r="S71" s="106">
        <v>0.39653519736330128</v>
      </c>
      <c r="T71" s="95"/>
      <c r="U71" s="95"/>
    </row>
    <row r="72" spans="1:21" x14ac:dyDescent="0.3">
      <c r="A72" s="19" t="s">
        <v>9</v>
      </c>
      <c r="B72" s="20" t="s">
        <v>10</v>
      </c>
      <c r="C72" s="20"/>
      <c r="D72" s="20"/>
      <c r="E72" s="21"/>
      <c r="F72" s="21"/>
      <c r="G72" s="22" t="s">
        <v>11</v>
      </c>
      <c r="H72" s="23"/>
      <c r="I72" s="24"/>
      <c r="J72" s="20" t="s">
        <v>12</v>
      </c>
      <c r="K72" s="20"/>
      <c r="L72" s="20"/>
      <c r="M72" s="20" t="s">
        <v>13</v>
      </c>
      <c r="N72" s="20"/>
      <c r="O72" s="20"/>
      <c r="P72" s="22" t="s">
        <v>14</v>
      </c>
      <c r="Q72" s="23"/>
      <c r="R72" s="24"/>
      <c r="S72" s="22" t="s">
        <v>15</v>
      </c>
      <c r="T72" s="23"/>
      <c r="U72" s="24"/>
    </row>
    <row r="73" spans="1:21" x14ac:dyDescent="0.3">
      <c r="A73" s="25" t="s">
        <v>16</v>
      </c>
      <c r="B73" s="26" t="s">
        <v>17</v>
      </c>
      <c r="C73" s="27" t="s">
        <v>18</v>
      </c>
      <c r="D73" s="28" t="s">
        <v>97</v>
      </c>
      <c r="E73" s="26" t="s">
        <v>20</v>
      </c>
      <c r="F73" s="29" t="s">
        <v>21</v>
      </c>
      <c r="G73" s="29" t="s">
        <v>22</v>
      </c>
      <c r="H73" s="30" t="s">
        <v>5</v>
      </c>
      <c r="I73" s="31" t="s">
        <v>23</v>
      </c>
      <c r="J73" s="32" t="s">
        <v>24</v>
      </c>
      <c r="K73" s="29" t="s">
        <v>25</v>
      </c>
      <c r="L73" s="33" t="s">
        <v>26</v>
      </c>
      <c r="M73" s="26" t="s">
        <v>27</v>
      </c>
      <c r="N73" s="29" t="s">
        <v>28</v>
      </c>
      <c r="O73" s="33" t="s">
        <v>29</v>
      </c>
      <c r="P73" s="26" t="s">
        <v>30</v>
      </c>
      <c r="Q73" s="34" t="s">
        <v>69</v>
      </c>
      <c r="R73" s="31" t="s">
        <v>98</v>
      </c>
      <c r="S73" s="26" t="s">
        <v>30</v>
      </c>
      <c r="T73" s="34" t="s">
        <v>69</v>
      </c>
      <c r="U73" s="31" t="s">
        <v>98</v>
      </c>
    </row>
    <row r="74" spans="1:21" ht="17.25" x14ac:dyDescent="0.3">
      <c r="A74" s="107"/>
      <c r="B74" s="108" t="s">
        <v>99</v>
      </c>
      <c r="C74" s="109" t="s">
        <v>100</v>
      </c>
      <c r="D74" s="110">
        <v>200</v>
      </c>
      <c r="E74" s="111">
        <v>46197</v>
      </c>
      <c r="F74" s="112">
        <v>46014</v>
      </c>
      <c r="G74" s="113">
        <v>495621917.80821997</v>
      </c>
      <c r="H74" s="114">
        <v>0</v>
      </c>
      <c r="I74" s="115">
        <v>495621917.80821997</v>
      </c>
      <c r="J74" s="116">
        <v>-1142680919.5</v>
      </c>
      <c r="K74" s="113">
        <v>1446202833.5</v>
      </c>
      <c r="L74" s="117">
        <v>303521914</v>
      </c>
      <c r="M74" s="118">
        <v>192100003.80821997</v>
      </c>
      <c r="N74" s="119">
        <v>303521914</v>
      </c>
      <c r="O74" s="120">
        <v>1044021.7598272824</v>
      </c>
      <c r="P74" s="121"/>
      <c r="Q74" s="119">
        <v>3345966.5</v>
      </c>
      <c r="R74" s="50">
        <v>3345945.5</v>
      </c>
      <c r="S74" s="121">
        <v>0</v>
      </c>
      <c r="T74" s="119">
        <v>2160515</v>
      </c>
      <c r="U74" s="50">
        <v>2160534.5</v>
      </c>
    </row>
    <row r="75" spans="1:21" ht="17.25" x14ac:dyDescent="0.3">
      <c r="A75" s="61"/>
      <c r="B75" s="35" t="s">
        <v>101</v>
      </c>
      <c r="C75" s="122" t="s">
        <v>102</v>
      </c>
      <c r="D75" s="37">
        <v>400</v>
      </c>
      <c r="E75" s="38">
        <v>46204</v>
      </c>
      <c r="F75" s="39">
        <v>46022</v>
      </c>
      <c r="G75" s="40">
        <v>1057395068.4931505</v>
      </c>
      <c r="H75" s="41">
        <v>0</v>
      </c>
      <c r="I75" s="42">
        <v>1057395068.4931505</v>
      </c>
      <c r="J75" s="43">
        <v>-1895441634</v>
      </c>
      <c r="K75" s="40">
        <v>2530777217.5</v>
      </c>
      <c r="L75" s="44">
        <v>635335583.5</v>
      </c>
      <c r="M75" s="45">
        <v>422059484.99315047</v>
      </c>
      <c r="N75" s="46">
        <v>635335583.5</v>
      </c>
      <c r="O75" s="47">
        <v>2209735.5235243482</v>
      </c>
      <c r="P75" s="81"/>
      <c r="Q75" s="46">
        <v>10099642.5</v>
      </c>
      <c r="R75" s="50">
        <v>7182263.5</v>
      </c>
      <c r="S75" s="81">
        <v>0</v>
      </c>
      <c r="T75" s="46">
        <v>503164.5</v>
      </c>
      <c r="U75" s="50">
        <v>4634331.5</v>
      </c>
    </row>
    <row r="76" spans="1:21" ht="17.25" x14ac:dyDescent="0.3">
      <c r="A76" s="61"/>
      <c r="B76" s="35" t="s">
        <v>103</v>
      </c>
      <c r="C76" s="122" t="s">
        <v>102</v>
      </c>
      <c r="D76" s="37">
        <v>300</v>
      </c>
      <c r="E76" s="38">
        <v>46596</v>
      </c>
      <c r="F76" s="39">
        <v>46049</v>
      </c>
      <c r="G76" s="40">
        <v>1552816438.3561656</v>
      </c>
      <c r="H76" s="41">
        <v>0</v>
      </c>
      <c r="I76" s="42">
        <v>1552816438.3561656</v>
      </c>
      <c r="J76" s="43">
        <v>-1749853922</v>
      </c>
      <c r="K76" s="40">
        <v>2167239073</v>
      </c>
      <c r="L76" s="44">
        <v>417385151</v>
      </c>
      <c r="M76" s="45">
        <v>1135431287.3561656</v>
      </c>
      <c r="N76" s="46">
        <v>417385151</v>
      </c>
      <c r="O76" s="47">
        <v>1947566.5306280714</v>
      </c>
      <c r="P76" s="81"/>
      <c r="Q76" s="46">
        <v>5134154.5</v>
      </c>
      <c r="R76" s="50">
        <v>5134154.5</v>
      </c>
      <c r="S76" s="81">
        <v>0</v>
      </c>
      <c r="T76" s="46">
        <v>3335756.5</v>
      </c>
      <c r="U76" s="50">
        <v>3335772</v>
      </c>
    </row>
    <row r="77" spans="1:21" ht="17.25" x14ac:dyDescent="0.3">
      <c r="A77" s="61"/>
      <c r="B77" s="35" t="s">
        <v>104</v>
      </c>
      <c r="C77" s="122" t="s">
        <v>102</v>
      </c>
      <c r="D77" s="37">
        <v>300</v>
      </c>
      <c r="E77" s="38">
        <v>46673</v>
      </c>
      <c r="F77" s="39">
        <v>46028</v>
      </c>
      <c r="G77" s="40">
        <v>1056000000.000001</v>
      </c>
      <c r="H77" s="41">
        <v>0</v>
      </c>
      <c r="I77" s="42">
        <v>1056000000.000001</v>
      </c>
      <c r="J77" s="43">
        <v>-1802888109</v>
      </c>
      <c r="K77" s="40">
        <v>1898738245.5</v>
      </c>
      <c r="L77" s="44">
        <v>95850136.5</v>
      </c>
      <c r="M77" s="45">
        <v>960149863.50000095</v>
      </c>
      <c r="N77" s="46">
        <v>95850136.5</v>
      </c>
      <c r="O77" s="47">
        <v>1454772.5204545469</v>
      </c>
      <c r="P77" s="81"/>
      <c r="Q77" s="46">
        <v>4651382.5</v>
      </c>
      <c r="R77" s="50">
        <v>4651411.5</v>
      </c>
      <c r="S77" s="81">
        <v>0</v>
      </c>
      <c r="T77" s="46">
        <v>3005781.5</v>
      </c>
      <c r="U77" s="50">
        <v>3005781.5</v>
      </c>
    </row>
    <row r="78" spans="1:21" ht="17.25" x14ac:dyDescent="0.3">
      <c r="A78" s="61"/>
      <c r="B78" s="35" t="s">
        <v>105</v>
      </c>
      <c r="C78" s="122" t="s">
        <v>102</v>
      </c>
      <c r="D78" s="37">
        <v>300</v>
      </c>
      <c r="E78" s="38">
        <v>46673</v>
      </c>
      <c r="F78" s="39">
        <v>46028</v>
      </c>
      <c r="G78" s="40">
        <v>1140600000</v>
      </c>
      <c r="H78" s="41">
        <v>0</v>
      </c>
      <c r="I78" s="42">
        <v>1140600000</v>
      </c>
      <c r="J78" s="43">
        <v>-1740366032</v>
      </c>
      <c r="K78" s="40">
        <v>1878219804</v>
      </c>
      <c r="L78" s="44">
        <v>137853772</v>
      </c>
      <c r="M78" s="45">
        <v>1002746228</v>
      </c>
      <c r="N78" s="46">
        <v>137853772</v>
      </c>
      <c r="O78" s="47">
        <v>1519312.4666666666</v>
      </c>
      <c r="P78" s="81"/>
      <c r="Q78" s="46">
        <v>13435460</v>
      </c>
      <c r="R78" s="50">
        <v>5009756.5</v>
      </c>
      <c r="S78" s="81">
        <v>0</v>
      </c>
      <c r="T78" s="46">
        <v>-1264933</v>
      </c>
      <c r="U78" s="50">
        <v>3235120</v>
      </c>
    </row>
    <row r="79" spans="1:21" ht="17.25" x14ac:dyDescent="0.3">
      <c r="A79" s="61"/>
      <c r="B79" s="35" t="s">
        <v>106</v>
      </c>
      <c r="C79" s="122" t="s">
        <v>102</v>
      </c>
      <c r="D79" s="37">
        <v>500</v>
      </c>
      <c r="E79" s="38">
        <v>46344</v>
      </c>
      <c r="F79" s="39">
        <v>46066</v>
      </c>
      <c r="G79" s="40">
        <v>914999999.99999928</v>
      </c>
      <c r="H79" s="41">
        <v>0</v>
      </c>
      <c r="I79" s="42">
        <v>914999999.99999928</v>
      </c>
      <c r="J79" s="43">
        <v>-1069601349</v>
      </c>
      <c r="K79" s="40">
        <v>1143878943</v>
      </c>
      <c r="L79" s="44">
        <v>74277594</v>
      </c>
      <c r="M79" s="45">
        <v>840722405.99999928</v>
      </c>
      <c r="N79" s="46">
        <v>74277594</v>
      </c>
      <c r="O79" s="47">
        <v>2539946.845921448</v>
      </c>
      <c r="P79" s="81"/>
      <c r="Q79" s="46">
        <v>7978267</v>
      </c>
      <c r="R79" s="50">
        <v>7975816</v>
      </c>
      <c r="S79" s="81">
        <v>0</v>
      </c>
      <c r="T79" s="46">
        <v>5132967</v>
      </c>
      <c r="U79" s="50">
        <v>5131717</v>
      </c>
    </row>
    <row r="80" spans="1:21" ht="17.25" x14ac:dyDescent="0.3">
      <c r="A80" s="61"/>
      <c r="B80" s="35" t="s">
        <v>107</v>
      </c>
      <c r="C80" s="122" t="s">
        <v>102</v>
      </c>
      <c r="D80" s="37">
        <v>300</v>
      </c>
      <c r="E80" s="38">
        <v>46713</v>
      </c>
      <c r="F80" s="39">
        <v>46064</v>
      </c>
      <c r="G80" s="40">
        <v>1323009863.0136991</v>
      </c>
      <c r="H80" s="41">
        <v>0</v>
      </c>
      <c r="I80" s="42">
        <v>1323009863.0136991</v>
      </c>
      <c r="J80" s="43">
        <v>-210947288</v>
      </c>
      <c r="K80" s="40">
        <v>317431544</v>
      </c>
      <c r="L80" s="44">
        <v>106484256</v>
      </c>
      <c r="M80" s="45">
        <v>1216525607.0136991</v>
      </c>
      <c r="N80" s="46">
        <v>106484256</v>
      </c>
      <c r="O80" s="47">
        <v>1737893.7243052844</v>
      </c>
      <c r="P80" s="81"/>
      <c r="Q80" s="46">
        <v>15463739.5</v>
      </c>
      <c r="R80" s="50">
        <v>9951599.5</v>
      </c>
      <c r="S80" s="81">
        <v>0</v>
      </c>
      <c r="T80" s="46">
        <v>7981891.5</v>
      </c>
      <c r="U80" s="50">
        <v>6831989.5</v>
      </c>
    </row>
    <row r="81" spans="1:21" ht="17.25" x14ac:dyDescent="0.3">
      <c r="A81" s="61"/>
      <c r="B81" s="35" t="s">
        <v>108</v>
      </c>
      <c r="C81" s="122" t="s">
        <v>102</v>
      </c>
      <c r="D81" s="37">
        <v>500</v>
      </c>
      <c r="E81" s="38">
        <v>46351</v>
      </c>
      <c r="F81" s="39">
        <v>46077</v>
      </c>
      <c r="G81" s="40">
        <v>1105000000.0000012</v>
      </c>
      <c r="H81" s="41">
        <v>0</v>
      </c>
      <c r="I81" s="42">
        <v>1105000000.0000012</v>
      </c>
      <c r="J81" s="43">
        <v>-672752916.5</v>
      </c>
      <c r="K81" s="40">
        <v>752386819.5</v>
      </c>
      <c r="L81" s="44">
        <v>79633903</v>
      </c>
      <c r="M81" s="45">
        <v>1025366097.0000012</v>
      </c>
      <c r="N81" s="46">
        <v>79633903</v>
      </c>
      <c r="O81" s="47">
        <v>3033627.5059171631</v>
      </c>
      <c r="P81" s="81"/>
      <c r="Q81" s="46">
        <v>10760644.5</v>
      </c>
      <c r="R81" s="50">
        <v>9948840.5</v>
      </c>
      <c r="S81" s="81">
        <v>0</v>
      </c>
      <c r="T81" s="46">
        <v>5854565</v>
      </c>
      <c r="U81" s="50">
        <v>6400910.5</v>
      </c>
    </row>
    <row r="82" spans="1:21" ht="17.25" x14ac:dyDescent="0.3">
      <c r="A82" s="61"/>
      <c r="B82" s="35" t="s">
        <v>109</v>
      </c>
      <c r="C82" s="122" t="s">
        <v>102</v>
      </c>
      <c r="D82" s="37">
        <v>500</v>
      </c>
      <c r="E82" s="38">
        <v>46356</v>
      </c>
      <c r="F82" s="39">
        <v>46079</v>
      </c>
      <c r="G82" s="40">
        <v>1125000000.0000012</v>
      </c>
      <c r="H82" s="41">
        <v>0</v>
      </c>
      <c r="I82" s="42">
        <v>1125000000.0000012</v>
      </c>
      <c r="J82" s="43">
        <v>-227176173.5</v>
      </c>
      <c r="K82" s="40">
        <v>293379198.5</v>
      </c>
      <c r="L82" s="44">
        <v>66203025</v>
      </c>
      <c r="M82" s="45">
        <v>1058796975.0000012</v>
      </c>
      <c r="N82" s="46">
        <v>66203025</v>
      </c>
      <c r="O82" s="47">
        <v>3086871.6472303243</v>
      </c>
      <c r="P82" s="81"/>
      <c r="Q82" s="46">
        <v>12705758.5</v>
      </c>
      <c r="R82" s="50">
        <v>9795929.5</v>
      </c>
      <c r="S82" s="81">
        <v>0</v>
      </c>
      <c r="T82" s="46">
        <v>7042136</v>
      </c>
      <c r="U82" s="50">
        <v>6283190.5</v>
      </c>
    </row>
    <row r="83" spans="1:21" ht="17.25" x14ac:dyDescent="0.3">
      <c r="A83" s="61"/>
      <c r="B83" s="35" t="s">
        <v>110</v>
      </c>
      <c r="C83" s="122" t="s">
        <v>102</v>
      </c>
      <c r="D83" s="37">
        <v>300</v>
      </c>
      <c r="E83" s="38">
        <v>46373</v>
      </c>
      <c r="F83" s="39">
        <v>46097</v>
      </c>
      <c r="G83" s="40">
        <v>692999999.99999928</v>
      </c>
      <c r="H83" s="41">
        <v>0</v>
      </c>
      <c r="I83" s="42">
        <v>692999999.99999928</v>
      </c>
      <c r="J83" s="43">
        <v>-37681030</v>
      </c>
      <c r="K83" s="40">
        <v>46747821.5</v>
      </c>
      <c r="L83" s="44">
        <v>9066791.5</v>
      </c>
      <c r="M83" s="45">
        <v>683933208.49999928</v>
      </c>
      <c r="N83" s="46">
        <v>9066791.5</v>
      </c>
      <c r="O83" s="47">
        <v>1899814.4680555535</v>
      </c>
      <c r="P83" s="81"/>
      <c r="Q83" s="46">
        <v>6671315</v>
      </c>
      <c r="R83" s="50">
        <v>6671421</v>
      </c>
      <c r="S83" s="81">
        <v>0</v>
      </c>
      <c r="T83" s="46">
        <v>4281575</v>
      </c>
      <c r="U83" s="50">
        <v>4281605</v>
      </c>
    </row>
    <row r="84" spans="1:21" ht="17.25" x14ac:dyDescent="0.3">
      <c r="A84" s="61"/>
      <c r="B84" s="35" t="s">
        <v>111</v>
      </c>
      <c r="C84" s="122" t="s">
        <v>102</v>
      </c>
      <c r="D84" s="37">
        <v>300</v>
      </c>
      <c r="E84" s="38">
        <v>46377</v>
      </c>
      <c r="F84" s="39">
        <v>46099</v>
      </c>
      <c r="G84" s="40">
        <v>725999999.99999928</v>
      </c>
      <c r="H84" s="41">
        <v>0</v>
      </c>
      <c r="I84" s="42">
        <v>725999999.99999928</v>
      </c>
      <c r="J84" s="43">
        <v>27045900.5</v>
      </c>
      <c r="K84" s="40">
        <v>-22831968.5</v>
      </c>
      <c r="L84" s="44">
        <v>4213932</v>
      </c>
      <c r="M84" s="45">
        <v>721786067.99999928</v>
      </c>
      <c r="N84" s="46">
        <v>4213932</v>
      </c>
      <c r="O84" s="47">
        <v>1982928.7582417564</v>
      </c>
      <c r="P84" s="81"/>
      <c r="Q84" s="46">
        <v>4213932</v>
      </c>
      <c r="R84" s="50">
        <v>4371122.5</v>
      </c>
      <c r="S84" s="81">
        <v>0</v>
      </c>
      <c r="T84" s="46">
        <v>4214093</v>
      </c>
      <c r="U84" s="50">
        <v>4360650.5</v>
      </c>
    </row>
    <row r="85" spans="1:21" ht="17.25" x14ac:dyDescent="0.3">
      <c r="A85" s="62"/>
      <c r="B85" s="62" t="s">
        <v>112</v>
      </c>
      <c r="C85" s="63" t="s">
        <v>102</v>
      </c>
      <c r="D85" s="99">
        <v>300</v>
      </c>
      <c r="E85" s="65" t="s">
        <v>112</v>
      </c>
      <c r="F85" s="66" t="s">
        <v>112</v>
      </c>
      <c r="G85" s="100" t="s">
        <v>113</v>
      </c>
      <c r="H85" s="123">
        <v>0</v>
      </c>
      <c r="I85" s="89" t="s">
        <v>113</v>
      </c>
      <c r="J85" s="102">
        <v>0</v>
      </c>
      <c r="K85" s="100">
        <v>0</v>
      </c>
      <c r="L85" s="71">
        <v>0</v>
      </c>
      <c r="M85" s="72">
        <v>0</v>
      </c>
      <c r="N85" s="73">
        <v>0</v>
      </c>
      <c r="O85" s="103">
        <v>0</v>
      </c>
      <c r="P85" s="124"/>
      <c r="Q85" s="73">
        <v>0</v>
      </c>
      <c r="R85" s="77">
        <v>0</v>
      </c>
      <c r="S85" s="124">
        <v>0</v>
      </c>
      <c r="T85" s="73">
        <v>0</v>
      </c>
      <c r="U85" s="77">
        <v>0</v>
      </c>
    </row>
    <row r="86" spans="1:21" x14ac:dyDescent="0.3">
      <c r="D86" s="18">
        <v>4200</v>
      </c>
      <c r="G86" s="15">
        <v>11189443287.67124</v>
      </c>
      <c r="I86" s="15">
        <v>11189443287.67124</v>
      </c>
      <c r="J86" s="15">
        <v>-10522343473</v>
      </c>
      <c r="K86" s="15">
        <v>12452169531.5</v>
      </c>
      <c r="L86" s="15">
        <v>1929826058.5</v>
      </c>
      <c r="M86" s="15">
        <v>9259617229.171236</v>
      </c>
      <c r="N86" s="15">
        <v>1929826058.5</v>
      </c>
      <c r="O86" s="15">
        <v>22456491.750772446</v>
      </c>
      <c r="P86" s="15"/>
      <c r="Q86" s="15">
        <v>94460262.5</v>
      </c>
      <c r="R86" s="15">
        <v>74038260.5</v>
      </c>
      <c r="S86" s="125"/>
      <c r="T86" s="15">
        <v>42247512</v>
      </c>
      <c r="U86" s="15">
        <v>49661602.5</v>
      </c>
    </row>
    <row r="87" spans="1:21" ht="17.25" x14ac:dyDescent="0.3">
      <c r="B87" s="11"/>
      <c r="C87" s="78"/>
      <c r="D87" s="83">
        <v>0.27272727272727271</v>
      </c>
      <c r="E87" s="80"/>
      <c r="G87" s="83">
        <v>0.14523394263907702</v>
      </c>
      <c r="H87" s="83"/>
      <c r="I87" s="83">
        <v>0.14523394263907702</v>
      </c>
      <c r="J87" s="83">
        <v>0.15503362989823941</v>
      </c>
      <c r="K87" s="83">
        <v>0.17771412989084617</v>
      </c>
      <c r="L87" s="83">
        <v>0.31892655631390171</v>
      </c>
      <c r="M87" s="83">
        <v>0.11464102530262647</v>
      </c>
      <c r="N87" s="83">
        <v>0.31892655631390171</v>
      </c>
      <c r="O87" s="83">
        <v>0.20950398354883043</v>
      </c>
      <c r="P87" s="83"/>
      <c r="Q87" s="84" t="s">
        <v>114</v>
      </c>
      <c r="R87" s="93">
        <v>1854490954</v>
      </c>
      <c r="S87" s="94"/>
      <c r="T87" s="95"/>
      <c r="U87" s="95"/>
    </row>
    <row r="88" spans="1:21" x14ac:dyDescent="0.3">
      <c r="A88" s="78"/>
      <c r="B88" s="11" t="s">
        <v>115</v>
      </c>
      <c r="C88" s="78"/>
      <c r="D88" s="83"/>
      <c r="E88" s="3" t="s">
        <v>8</v>
      </c>
      <c r="F88" s="16">
        <v>2.431344537815126E-2</v>
      </c>
      <c r="G88" s="83"/>
      <c r="H88" s="83"/>
      <c r="I88" s="83"/>
      <c r="J88" s="83"/>
      <c r="K88" s="83"/>
      <c r="L88" s="83"/>
      <c r="M88" s="83"/>
      <c r="N88" s="83"/>
      <c r="O88" s="83"/>
      <c r="P88" s="83"/>
    </row>
    <row r="89" spans="1:21" x14ac:dyDescent="0.3">
      <c r="A89" s="19" t="s">
        <v>9</v>
      </c>
      <c r="B89" s="20" t="s">
        <v>10</v>
      </c>
      <c r="C89" s="20"/>
      <c r="D89" s="20"/>
      <c r="E89" s="21"/>
      <c r="F89" s="21"/>
      <c r="G89" s="22" t="s">
        <v>11</v>
      </c>
      <c r="H89" s="23"/>
      <c r="I89" s="24"/>
      <c r="J89" s="20" t="s">
        <v>12</v>
      </c>
      <c r="K89" s="20"/>
      <c r="L89" s="20"/>
      <c r="M89" s="20" t="s">
        <v>13</v>
      </c>
      <c r="N89" s="20"/>
      <c r="O89" s="20"/>
      <c r="P89" s="22" t="s">
        <v>116</v>
      </c>
      <c r="Q89" s="23"/>
      <c r="R89" s="24"/>
      <c r="S89" s="22" t="s">
        <v>116</v>
      </c>
      <c r="T89" s="23"/>
      <c r="U89" s="24"/>
    </row>
    <row r="90" spans="1:21" x14ac:dyDescent="0.3">
      <c r="A90" s="25" t="s">
        <v>16</v>
      </c>
      <c r="B90" s="26" t="s">
        <v>17</v>
      </c>
      <c r="C90" s="27" t="s">
        <v>18</v>
      </c>
      <c r="D90" s="28" t="s">
        <v>97</v>
      </c>
      <c r="E90" s="26" t="s">
        <v>20</v>
      </c>
      <c r="F90" s="29" t="s">
        <v>21</v>
      </c>
      <c r="G90" s="29" t="s">
        <v>22</v>
      </c>
      <c r="H90" s="30" t="s">
        <v>5</v>
      </c>
      <c r="I90" s="31" t="s">
        <v>23</v>
      </c>
      <c r="J90" s="32" t="s">
        <v>24</v>
      </c>
      <c r="K90" s="29" t="s">
        <v>25</v>
      </c>
      <c r="L90" s="33" t="s">
        <v>26</v>
      </c>
      <c r="M90" s="26" t="s">
        <v>27</v>
      </c>
      <c r="N90" s="29" t="s">
        <v>28</v>
      </c>
      <c r="O90" s="33" t="s">
        <v>29</v>
      </c>
      <c r="P90" s="26" t="s">
        <v>30</v>
      </c>
      <c r="Q90" s="34" t="s">
        <v>69</v>
      </c>
      <c r="R90" s="31" t="s">
        <v>98</v>
      </c>
      <c r="S90" s="26" t="s">
        <v>30</v>
      </c>
      <c r="T90" s="34" t="s">
        <v>69</v>
      </c>
      <c r="U90" s="31" t="s">
        <v>98</v>
      </c>
    </row>
    <row r="91" spans="1:21" ht="17.25" x14ac:dyDescent="0.3">
      <c r="A91" s="35"/>
      <c r="B91" s="35" t="s">
        <v>117</v>
      </c>
      <c r="C91" s="36" t="s">
        <v>100</v>
      </c>
      <c r="D91" s="37">
        <v>300</v>
      </c>
      <c r="E91" s="38">
        <v>46293</v>
      </c>
      <c r="F91" s="39">
        <v>46015</v>
      </c>
      <c r="G91" s="40">
        <v>992999999.99999952</v>
      </c>
      <c r="H91" s="41">
        <v>0</v>
      </c>
      <c r="I91" s="42">
        <v>992999999.99999952</v>
      </c>
      <c r="J91" s="43">
        <v>-2432318435</v>
      </c>
      <c r="K91" s="40">
        <v>2482551267.5</v>
      </c>
      <c r="L91" s="44">
        <v>50232832.5</v>
      </c>
      <c r="M91" s="45">
        <v>942767167.49999952</v>
      </c>
      <c r="N91" s="46">
        <v>50232832.5</v>
      </c>
      <c r="O91" s="47">
        <v>3367025.5982142841</v>
      </c>
      <c r="P91" s="60"/>
      <c r="Q91" s="49">
        <v>13240308</v>
      </c>
      <c r="R91" s="50">
        <v>5740918.5</v>
      </c>
      <c r="S91" s="60">
        <v>0</v>
      </c>
      <c r="T91" s="49">
        <v>4888640</v>
      </c>
      <c r="U91" s="50">
        <v>4245449</v>
      </c>
    </row>
    <row r="92" spans="1:21" ht="17.25" x14ac:dyDescent="0.3">
      <c r="A92" s="35"/>
      <c r="B92" s="35" t="s">
        <v>118</v>
      </c>
      <c r="C92" s="36" t="s">
        <v>100</v>
      </c>
      <c r="D92" s="37">
        <v>300</v>
      </c>
      <c r="E92" s="38">
        <v>46309</v>
      </c>
      <c r="F92" s="39">
        <v>46035</v>
      </c>
      <c r="G92" s="40">
        <v>1053000000.0000008</v>
      </c>
      <c r="H92" s="41">
        <v>0</v>
      </c>
      <c r="I92" s="42">
        <v>1053000000.0000008</v>
      </c>
      <c r="J92" s="43">
        <v>-1211289571</v>
      </c>
      <c r="K92" s="40">
        <v>1624824084.5</v>
      </c>
      <c r="L92" s="44">
        <v>413534513.5</v>
      </c>
      <c r="M92" s="45">
        <v>639465486.50000083</v>
      </c>
      <c r="N92" s="46">
        <v>413534513.5</v>
      </c>
      <c r="O92" s="47">
        <v>2160356.3733108137</v>
      </c>
      <c r="P92" s="48"/>
      <c r="Q92" s="49">
        <v>14375058.5</v>
      </c>
      <c r="R92" s="50">
        <v>10245095</v>
      </c>
      <c r="S92" s="48">
        <v>0</v>
      </c>
      <c r="T92" s="49">
        <v>10397695</v>
      </c>
      <c r="U92" s="50">
        <v>6666606.5</v>
      </c>
    </row>
    <row r="93" spans="1:21" ht="17.25" x14ac:dyDescent="0.3">
      <c r="A93" s="35"/>
      <c r="B93" s="35" t="s">
        <v>119</v>
      </c>
      <c r="C93" s="36" t="s">
        <v>102</v>
      </c>
      <c r="D93" s="37">
        <v>300</v>
      </c>
      <c r="E93" s="38">
        <v>46318</v>
      </c>
      <c r="F93" s="39">
        <v>46044</v>
      </c>
      <c r="G93" s="40">
        <v>1053000000.0000008</v>
      </c>
      <c r="H93" s="41">
        <v>0</v>
      </c>
      <c r="I93" s="42">
        <v>1053000000.0000008</v>
      </c>
      <c r="J93" s="43">
        <v>-1377161455.5</v>
      </c>
      <c r="K93" s="40">
        <v>1701339482</v>
      </c>
      <c r="L93" s="44">
        <v>324178026.5</v>
      </c>
      <c r="M93" s="45">
        <v>728821973.50000083</v>
      </c>
      <c r="N93" s="46">
        <v>324178026.5</v>
      </c>
      <c r="O93" s="47">
        <v>2389580.2409836091</v>
      </c>
      <c r="P93" s="48"/>
      <c r="Q93" s="49">
        <v>6662167</v>
      </c>
      <c r="R93" s="50">
        <v>10085645.5</v>
      </c>
      <c r="S93" s="48">
        <v>0</v>
      </c>
      <c r="T93" s="49">
        <v>3998965</v>
      </c>
      <c r="U93" s="50">
        <v>6522580.5</v>
      </c>
    </row>
    <row r="94" spans="1:21" ht="17.25" x14ac:dyDescent="0.3">
      <c r="A94" s="35"/>
      <c r="B94" s="35" t="s">
        <v>120</v>
      </c>
      <c r="C94" s="36" t="s">
        <v>102</v>
      </c>
      <c r="D94" s="37">
        <v>300</v>
      </c>
      <c r="E94" s="38">
        <v>46065</v>
      </c>
      <c r="F94" s="39">
        <v>46064</v>
      </c>
      <c r="G94" s="40">
        <v>1322054794.5205479</v>
      </c>
      <c r="H94" s="41">
        <v>0</v>
      </c>
      <c r="I94" s="42">
        <v>1322054794.5205479</v>
      </c>
      <c r="J94" s="43">
        <v>-581137944</v>
      </c>
      <c r="K94" s="40">
        <v>1695093623.5</v>
      </c>
      <c r="L94" s="44">
        <v>1113955679.5</v>
      </c>
      <c r="M94" s="45">
        <v>208099115.02054787</v>
      </c>
      <c r="N94" s="46">
        <v>1113955679.5</v>
      </c>
      <c r="O94" s="47">
        <v>4001906.0580874588</v>
      </c>
      <c r="P94" s="48"/>
      <c r="Q94" s="49">
        <v>3029568</v>
      </c>
      <c r="R94" s="50">
        <v>6356822</v>
      </c>
      <c r="S94" s="48">
        <v>0</v>
      </c>
      <c r="T94" s="49">
        <v>9255510.5</v>
      </c>
      <c r="U94" s="50">
        <v>4107065.5</v>
      </c>
    </row>
    <row r="95" spans="1:21" ht="17.25" x14ac:dyDescent="0.3">
      <c r="A95" s="35"/>
      <c r="B95" s="35" t="s">
        <v>121</v>
      </c>
      <c r="C95" s="36" t="s">
        <v>102</v>
      </c>
      <c r="D95" s="37">
        <v>300</v>
      </c>
      <c r="E95" s="38">
        <v>46079</v>
      </c>
      <c r="F95" s="39">
        <v>46078</v>
      </c>
      <c r="G95" s="40">
        <v>1279956164.3835621</v>
      </c>
      <c r="H95" s="41">
        <v>0</v>
      </c>
      <c r="I95" s="42">
        <v>1279956164.3835621</v>
      </c>
      <c r="J95" s="43">
        <v>-941034169.5</v>
      </c>
      <c r="K95" s="40">
        <v>2073011563</v>
      </c>
      <c r="L95" s="44">
        <v>1131977393.5</v>
      </c>
      <c r="M95" s="45">
        <v>147978770.88356209</v>
      </c>
      <c r="N95" s="46">
        <v>1131977393.5</v>
      </c>
      <c r="O95" s="47">
        <v>2242102.58914488</v>
      </c>
      <c r="P95" s="48"/>
      <c r="Q95" s="49">
        <v>6758578</v>
      </c>
      <c r="R95" s="50">
        <v>5819625</v>
      </c>
      <c r="S95" s="48">
        <v>0</v>
      </c>
      <c r="T95" s="49">
        <v>4789301.5</v>
      </c>
      <c r="U95" s="50">
        <v>3763257.5</v>
      </c>
    </row>
    <row r="96" spans="1:21" ht="17.25" x14ac:dyDescent="0.3">
      <c r="A96" s="35"/>
      <c r="B96" s="35" t="s">
        <v>122</v>
      </c>
      <c r="C96" s="36" t="s">
        <v>102</v>
      </c>
      <c r="D96" s="37">
        <v>300</v>
      </c>
      <c r="E96" s="38">
        <v>46085</v>
      </c>
      <c r="F96" s="39">
        <v>46084</v>
      </c>
      <c r="G96" s="40">
        <v>1356041095.8904109</v>
      </c>
      <c r="H96" s="41">
        <v>0</v>
      </c>
      <c r="I96" s="42">
        <v>1356041095.8904109</v>
      </c>
      <c r="J96" s="43">
        <v>-985684148.5</v>
      </c>
      <c r="K96" s="40">
        <v>2151011802</v>
      </c>
      <c r="L96" s="44">
        <v>1165327653.5</v>
      </c>
      <c r="M96" s="45">
        <v>190713442.3904109</v>
      </c>
      <c r="N96" s="46">
        <v>1165327653.5</v>
      </c>
      <c r="O96" s="47">
        <v>2648797.8109779293</v>
      </c>
      <c r="P96" s="48"/>
      <c r="Q96" s="49">
        <v>7600380</v>
      </c>
      <c r="R96" s="50">
        <v>6648145</v>
      </c>
      <c r="S96" s="48">
        <v>0</v>
      </c>
      <c r="T96" s="49">
        <v>4775136</v>
      </c>
      <c r="U96" s="50">
        <v>4266421.5</v>
      </c>
    </row>
    <row r="97" spans="1:21" ht="17.25" x14ac:dyDescent="0.3">
      <c r="A97" s="35"/>
      <c r="B97" s="35" t="s">
        <v>123</v>
      </c>
      <c r="C97" s="36" t="s">
        <v>102</v>
      </c>
      <c r="D97" s="37">
        <v>300</v>
      </c>
      <c r="E97" s="38">
        <v>46093</v>
      </c>
      <c r="F97" s="39">
        <v>46092</v>
      </c>
      <c r="G97" s="40">
        <v>1369561643.8356161</v>
      </c>
      <c r="H97" s="41">
        <v>0</v>
      </c>
      <c r="I97" s="42">
        <v>1369561643.8356161</v>
      </c>
      <c r="J97" s="43">
        <v>-1151290784</v>
      </c>
      <c r="K97" s="40">
        <v>2311602762</v>
      </c>
      <c r="L97" s="44">
        <v>1160311978</v>
      </c>
      <c r="M97" s="45">
        <v>209249665.83561611</v>
      </c>
      <c r="N97" s="46">
        <v>1160311978</v>
      </c>
      <c r="O97" s="47">
        <v>2615620.8229452013</v>
      </c>
      <c r="P97" s="48"/>
      <c r="Q97" s="49">
        <v>10564220.5</v>
      </c>
      <c r="R97" s="50">
        <v>6777417</v>
      </c>
      <c r="S97" s="48">
        <v>0</v>
      </c>
      <c r="T97" s="49">
        <v>8885362</v>
      </c>
      <c r="U97" s="50">
        <v>4348117</v>
      </c>
    </row>
    <row r="98" spans="1:21" ht="17.25" x14ac:dyDescent="0.3">
      <c r="A98" s="35"/>
      <c r="B98" s="35" t="s">
        <v>124</v>
      </c>
      <c r="C98" s="36" t="s">
        <v>102</v>
      </c>
      <c r="D98" s="37">
        <v>200</v>
      </c>
      <c r="E98" s="38">
        <v>46100</v>
      </c>
      <c r="F98" s="39">
        <v>46099</v>
      </c>
      <c r="G98" s="40">
        <v>922547945.20547903</v>
      </c>
      <c r="H98" s="41">
        <v>0</v>
      </c>
      <c r="I98" s="42">
        <v>922547945.20547903</v>
      </c>
      <c r="J98" s="43">
        <v>-367383456</v>
      </c>
      <c r="K98" s="40">
        <v>1048465275.5</v>
      </c>
      <c r="L98" s="44">
        <v>681081819.5</v>
      </c>
      <c r="M98" s="45">
        <v>241466125.70547903</v>
      </c>
      <c r="N98" s="46">
        <v>681081819.5</v>
      </c>
      <c r="O98" s="47">
        <v>2775472.7092583794</v>
      </c>
      <c r="P98" s="48">
        <v>-140847946</v>
      </c>
      <c r="Q98" s="49">
        <v>-1650361</v>
      </c>
      <c r="R98" s="50">
        <v>4081608.5</v>
      </c>
      <c r="S98" s="48">
        <v>0</v>
      </c>
      <c r="T98" s="49">
        <v>5534337.5</v>
      </c>
      <c r="U98" s="50">
        <v>2832707</v>
      </c>
    </row>
    <row r="99" spans="1:21" ht="17.25" x14ac:dyDescent="0.3">
      <c r="A99" s="35"/>
      <c r="B99" s="35" t="s">
        <v>125</v>
      </c>
      <c r="C99" s="36" t="s">
        <v>102</v>
      </c>
      <c r="D99" s="37">
        <v>250</v>
      </c>
      <c r="E99" s="38">
        <v>46114</v>
      </c>
      <c r="F99" s="39">
        <v>46022</v>
      </c>
      <c r="G99" s="40">
        <v>1012178082.1917813</v>
      </c>
      <c r="H99" s="41">
        <v>0</v>
      </c>
      <c r="I99" s="42">
        <v>1012178082.1917813</v>
      </c>
      <c r="J99" s="43">
        <v>-971267471.5</v>
      </c>
      <c r="K99" s="40">
        <v>1744408154</v>
      </c>
      <c r="L99" s="44">
        <v>773140682.5</v>
      </c>
      <c r="M99" s="45">
        <v>239037399.69178128</v>
      </c>
      <c r="N99" s="46">
        <v>773140682.5</v>
      </c>
      <c r="O99" s="47">
        <v>2366706.9276413987</v>
      </c>
      <c r="P99" s="48"/>
      <c r="Q99" s="49">
        <v>9667374.5</v>
      </c>
      <c r="R99" s="50">
        <v>6324345</v>
      </c>
      <c r="S99" s="48">
        <v>0</v>
      </c>
      <c r="T99" s="49">
        <v>7123803</v>
      </c>
      <c r="U99" s="50">
        <v>4062471.5</v>
      </c>
    </row>
    <row r="100" spans="1:21" ht="17.25" x14ac:dyDescent="0.3">
      <c r="A100" s="35"/>
      <c r="B100" s="35" t="s">
        <v>126</v>
      </c>
      <c r="C100" s="36" t="s">
        <v>100</v>
      </c>
      <c r="D100" s="37">
        <v>500</v>
      </c>
      <c r="E100" s="38">
        <v>46120</v>
      </c>
      <c r="F100" s="39">
        <v>46029</v>
      </c>
      <c r="G100" s="126">
        <v>2226849315.0684929</v>
      </c>
      <c r="H100" s="41">
        <v>0</v>
      </c>
      <c r="I100" s="42">
        <v>2226849315.0684929</v>
      </c>
      <c r="J100" s="43">
        <v>899790551.5</v>
      </c>
      <c r="K100" s="40">
        <v>1453227708.5</v>
      </c>
      <c r="L100" s="44">
        <v>2353018260</v>
      </c>
      <c r="M100" s="45">
        <v>-126168944.93150711</v>
      </c>
      <c r="N100" s="46">
        <v>2353018260</v>
      </c>
      <c r="O100" s="47">
        <v>-1179149.0180514683</v>
      </c>
      <c r="P100" s="48"/>
      <c r="Q100" s="49">
        <v>-13246348.5</v>
      </c>
      <c r="R100" s="50">
        <v>14468188.5</v>
      </c>
      <c r="S100" s="48">
        <v>0</v>
      </c>
      <c r="T100" s="49">
        <v>-6771726</v>
      </c>
      <c r="U100" s="50">
        <v>9334473</v>
      </c>
    </row>
    <row r="101" spans="1:21" ht="17.25" x14ac:dyDescent="0.3">
      <c r="A101" s="35"/>
      <c r="B101" s="35" t="s">
        <v>127</v>
      </c>
      <c r="C101" s="36" t="s">
        <v>100</v>
      </c>
      <c r="D101" s="37">
        <v>300</v>
      </c>
      <c r="E101" s="38">
        <v>46121</v>
      </c>
      <c r="F101" s="39">
        <v>46030</v>
      </c>
      <c r="G101" s="126">
        <v>1218328767.1232877</v>
      </c>
      <c r="H101" s="41">
        <v>0</v>
      </c>
      <c r="I101" s="42">
        <v>1218328767.1232877</v>
      </c>
      <c r="J101" s="43">
        <v>-1746038653.5</v>
      </c>
      <c r="K101" s="40">
        <v>2666542639.5</v>
      </c>
      <c r="L101" s="44">
        <v>920503986</v>
      </c>
      <c r="M101" s="45">
        <v>297824781.12328768</v>
      </c>
      <c r="N101" s="46">
        <v>920503986</v>
      </c>
      <c r="O101" s="47">
        <v>2757636.8622526638</v>
      </c>
      <c r="P101" s="48"/>
      <c r="Q101" s="49">
        <v>1915312</v>
      </c>
      <c r="R101" s="50">
        <v>7268909.5</v>
      </c>
      <c r="S101" s="48">
        <v>0</v>
      </c>
      <c r="T101" s="49">
        <v>5449956.5</v>
      </c>
      <c r="U101" s="50">
        <v>4708548</v>
      </c>
    </row>
    <row r="102" spans="1:21" ht="17.25" x14ac:dyDescent="0.3">
      <c r="A102" s="35"/>
      <c r="B102" s="35" t="s">
        <v>128</v>
      </c>
      <c r="C102" s="36" t="s">
        <v>100</v>
      </c>
      <c r="D102" s="37">
        <v>500</v>
      </c>
      <c r="E102" s="38">
        <v>46185</v>
      </c>
      <c r="F102" s="39">
        <v>46092</v>
      </c>
      <c r="G102" s="126">
        <v>1857041095.8904102</v>
      </c>
      <c r="H102" s="41">
        <v>0</v>
      </c>
      <c r="I102" s="42">
        <v>1857041095.8904102</v>
      </c>
      <c r="J102" s="43">
        <v>-4616781848</v>
      </c>
      <c r="K102" s="40">
        <v>6120335726.5</v>
      </c>
      <c r="L102" s="44">
        <v>1503553878.5</v>
      </c>
      <c r="M102" s="45">
        <v>353487217.39041018</v>
      </c>
      <c r="N102" s="46">
        <v>1503553878.5</v>
      </c>
      <c r="O102" s="47">
        <v>2055158.2406419197</v>
      </c>
      <c r="P102" s="48"/>
      <c r="Q102" s="49">
        <v>12895799.5</v>
      </c>
      <c r="R102" s="50">
        <v>11039355.5</v>
      </c>
      <c r="S102" s="48">
        <v>0</v>
      </c>
      <c r="T102" s="49">
        <v>3097255</v>
      </c>
      <c r="U102" s="50">
        <v>7148442.5</v>
      </c>
    </row>
    <row r="103" spans="1:21" ht="17.25" x14ac:dyDescent="0.3">
      <c r="A103" s="35"/>
      <c r="B103" s="35" t="s">
        <v>129</v>
      </c>
      <c r="C103" s="36" t="s">
        <v>100</v>
      </c>
      <c r="D103" s="37">
        <v>300</v>
      </c>
      <c r="E103" s="38">
        <v>46316</v>
      </c>
      <c r="F103" s="39">
        <v>46042</v>
      </c>
      <c r="G103" s="126">
        <v>567000000.00000083</v>
      </c>
      <c r="H103" s="41">
        <v>0</v>
      </c>
      <c r="I103" s="42">
        <v>567000000.00000083</v>
      </c>
      <c r="J103" s="43">
        <v>-2570423093.5</v>
      </c>
      <c r="K103" s="40">
        <v>2477277724.5</v>
      </c>
      <c r="L103" s="44">
        <v>-93145369</v>
      </c>
      <c r="M103" s="45">
        <v>660145369.00000083</v>
      </c>
      <c r="N103" s="46">
        <v>-93145369</v>
      </c>
      <c r="O103" s="47">
        <v>2178697.5874587488</v>
      </c>
      <c r="P103" s="48"/>
      <c r="Q103" s="49">
        <v>-786486.5</v>
      </c>
      <c r="R103" s="50">
        <v>-786531</v>
      </c>
      <c r="S103" s="48">
        <v>0</v>
      </c>
      <c r="T103" s="49">
        <v>3406013.5</v>
      </c>
      <c r="U103" s="50">
        <v>3406075</v>
      </c>
    </row>
    <row r="104" spans="1:21" ht="17.25" x14ac:dyDescent="0.3">
      <c r="A104" s="35"/>
      <c r="B104" s="35" t="s">
        <v>130</v>
      </c>
      <c r="C104" s="36" t="s">
        <v>100</v>
      </c>
      <c r="D104" s="37">
        <v>300</v>
      </c>
      <c r="E104" s="38">
        <v>46323</v>
      </c>
      <c r="F104" s="39">
        <v>46049</v>
      </c>
      <c r="G104" s="126">
        <v>567000000.00000083</v>
      </c>
      <c r="H104" s="41">
        <v>0</v>
      </c>
      <c r="I104" s="42">
        <v>567000000.00000083</v>
      </c>
      <c r="J104" s="43">
        <v>-2741580689.5</v>
      </c>
      <c r="K104" s="40">
        <v>2771718126.5</v>
      </c>
      <c r="L104" s="44">
        <v>30137437</v>
      </c>
      <c r="M104" s="45">
        <v>536862563.00000083</v>
      </c>
      <c r="N104" s="46">
        <v>30137437</v>
      </c>
      <c r="O104" s="47">
        <v>1731814.7193548414</v>
      </c>
      <c r="P104" s="48"/>
      <c r="Q104" s="49">
        <v>4142747</v>
      </c>
      <c r="R104" s="50">
        <v>4948892</v>
      </c>
      <c r="S104" s="48">
        <v>0</v>
      </c>
      <c r="T104" s="49">
        <v>4749447</v>
      </c>
      <c r="U104" s="50">
        <v>5841884</v>
      </c>
    </row>
    <row r="105" spans="1:21" ht="17.25" x14ac:dyDescent="0.3">
      <c r="A105" s="35"/>
      <c r="B105" s="35" t="s">
        <v>131</v>
      </c>
      <c r="C105" s="36" t="s">
        <v>100</v>
      </c>
      <c r="D105" s="37">
        <v>300</v>
      </c>
      <c r="E105" s="38">
        <v>46331</v>
      </c>
      <c r="F105" s="39">
        <v>46057</v>
      </c>
      <c r="G105" s="126">
        <v>552750000.00000048</v>
      </c>
      <c r="H105" s="41">
        <v>0</v>
      </c>
      <c r="I105" s="42">
        <v>552750000.00000048</v>
      </c>
      <c r="J105" s="43">
        <v>-2320399964</v>
      </c>
      <c r="K105" s="40">
        <v>2388034900</v>
      </c>
      <c r="L105" s="44">
        <v>67634936</v>
      </c>
      <c r="M105" s="45">
        <v>485115064.00000048</v>
      </c>
      <c r="N105" s="46">
        <v>67634936</v>
      </c>
      <c r="O105" s="47">
        <v>1525519.0691823915</v>
      </c>
      <c r="P105" s="48"/>
      <c r="Q105" s="49">
        <v>4931586</v>
      </c>
      <c r="R105" s="50">
        <v>4931691.5</v>
      </c>
      <c r="S105" s="48">
        <v>0</v>
      </c>
      <c r="T105" s="49">
        <v>3186914</v>
      </c>
      <c r="U105" s="50">
        <v>3186958.5</v>
      </c>
    </row>
    <row r="106" spans="1:21" ht="17.25" x14ac:dyDescent="0.3">
      <c r="A106" s="35"/>
      <c r="B106" s="35" t="s">
        <v>132</v>
      </c>
      <c r="C106" s="36" t="s">
        <v>102</v>
      </c>
      <c r="D106" s="37">
        <v>300</v>
      </c>
      <c r="E106" s="38">
        <v>46336</v>
      </c>
      <c r="F106" s="39">
        <v>46062</v>
      </c>
      <c r="G106" s="126">
        <v>546725543.47826099</v>
      </c>
      <c r="H106" s="41">
        <v>0</v>
      </c>
      <c r="I106" s="42">
        <v>546725543.47826099</v>
      </c>
      <c r="J106" s="43">
        <v>-1897720347</v>
      </c>
      <c r="K106" s="40">
        <v>1938007265</v>
      </c>
      <c r="L106" s="44">
        <v>40286918</v>
      </c>
      <c r="M106" s="45">
        <v>506438625.47826099</v>
      </c>
      <c r="N106" s="46">
        <v>40286918</v>
      </c>
      <c r="O106" s="47">
        <v>1567921.4411091672</v>
      </c>
      <c r="P106" s="48"/>
      <c r="Q106" s="49">
        <v>2352214.5</v>
      </c>
      <c r="R106" s="50">
        <v>4874803.5</v>
      </c>
      <c r="S106" s="48">
        <v>0</v>
      </c>
      <c r="T106" s="49">
        <v>2771883</v>
      </c>
      <c r="U106" s="50">
        <v>3150248.5</v>
      </c>
    </row>
    <row r="107" spans="1:21" ht="17.25" x14ac:dyDescent="0.3">
      <c r="A107" s="35"/>
      <c r="B107" s="35" t="s">
        <v>133</v>
      </c>
      <c r="C107" s="36" t="s">
        <v>102</v>
      </c>
      <c r="D107" s="37">
        <v>300</v>
      </c>
      <c r="E107" s="38">
        <v>46342</v>
      </c>
      <c r="F107" s="39">
        <v>46066</v>
      </c>
      <c r="G107" s="126">
        <v>478818604.82429934</v>
      </c>
      <c r="H107" s="41">
        <v>0</v>
      </c>
      <c r="I107" s="42">
        <v>478818604.82429934</v>
      </c>
      <c r="J107" s="43">
        <v>-1570698289</v>
      </c>
      <c r="K107" s="40">
        <v>1613510051</v>
      </c>
      <c r="L107" s="44">
        <v>42811762</v>
      </c>
      <c r="M107" s="45">
        <v>436006842.82429934</v>
      </c>
      <c r="N107" s="46">
        <v>42811762</v>
      </c>
      <c r="O107" s="47">
        <v>1325248.7623838885</v>
      </c>
      <c r="P107" s="48"/>
      <c r="Q107" s="49">
        <v>1989859</v>
      </c>
      <c r="R107" s="50">
        <v>4235349.5</v>
      </c>
      <c r="S107" s="48">
        <v>0</v>
      </c>
      <c r="T107" s="49">
        <v>430059</v>
      </c>
      <c r="U107" s="50">
        <v>2733141.5</v>
      </c>
    </row>
    <row r="108" spans="1:21" ht="17.25" x14ac:dyDescent="0.3">
      <c r="A108" s="35"/>
      <c r="B108" s="35" t="s">
        <v>134</v>
      </c>
      <c r="C108" s="36" t="s">
        <v>102</v>
      </c>
      <c r="D108" s="37">
        <v>300</v>
      </c>
      <c r="E108" s="38">
        <v>46349</v>
      </c>
      <c r="F108" s="39">
        <v>46073</v>
      </c>
      <c r="G108" s="126">
        <v>524261904.40738529</v>
      </c>
      <c r="H108" s="41">
        <v>0</v>
      </c>
      <c r="I108" s="42">
        <v>524261904.40738529</v>
      </c>
      <c r="J108" s="43">
        <v>-1650998333</v>
      </c>
      <c r="K108" s="40">
        <v>1686866830</v>
      </c>
      <c r="L108" s="44">
        <v>35868497</v>
      </c>
      <c r="M108" s="45">
        <v>488393407.40738529</v>
      </c>
      <c r="N108" s="46">
        <v>35868497</v>
      </c>
      <c r="O108" s="47">
        <v>1453551.8077600752</v>
      </c>
      <c r="P108" s="48"/>
      <c r="Q108" s="49">
        <v>4191465</v>
      </c>
      <c r="R108" s="50">
        <v>4754013</v>
      </c>
      <c r="S108" s="48">
        <v>0</v>
      </c>
      <c r="T108" s="49">
        <v>3755484</v>
      </c>
      <c r="U108" s="50">
        <v>3053785</v>
      </c>
    </row>
    <row r="109" spans="1:21" ht="17.25" x14ac:dyDescent="0.3">
      <c r="A109" s="62"/>
      <c r="B109" s="62" t="s">
        <v>135</v>
      </c>
      <c r="C109" s="63" t="s">
        <v>102</v>
      </c>
      <c r="D109" s="99">
        <v>300</v>
      </c>
      <c r="E109" s="65">
        <v>46373</v>
      </c>
      <c r="F109" s="66">
        <v>46097</v>
      </c>
      <c r="G109" s="100">
        <v>718124999.99999917</v>
      </c>
      <c r="H109" s="101">
        <v>0</v>
      </c>
      <c r="I109" s="89">
        <v>718124999.99999917</v>
      </c>
      <c r="J109" s="102">
        <v>69619799</v>
      </c>
      <c r="K109" s="100">
        <v>-60516317</v>
      </c>
      <c r="L109" s="71">
        <v>9103482</v>
      </c>
      <c r="M109" s="72">
        <v>709021517.99999917</v>
      </c>
      <c r="N109" s="73">
        <v>9103482</v>
      </c>
      <c r="O109" s="103">
        <v>1969504.2166666645</v>
      </c>
      <c r="P109" s="104"/>
      <c r="Q109" s="76">
        <v>6707228.5</v>
      </c>
      <c r="R109" s="77">
        <v>6701094</v>
      </c>
      <c r="S109" s="104">
        <v>0</v>
      </c>
      <c r="T109" s="76">
        <v>4300680.5</v>
      </c>
      <c r="U109" s="77">
        <v>4300650.5</v>
      </c>
    </row>
    <row r="110" spans="1:21" ht="17.25" x14ac:dyDescent="0.3">
      <c r="B110" s="78"/>
      <c r="C110" s="78"/>
      <c r="D110" s="79">
        <v>5950</v>
      </c>
      <c r="E110" s="80"/>
      <c r="G110" s="90">
        <v>19618239956.819538</v>
      </c>
      <c r="H110" s="90">
        <v>0</v>
      </c>
      <c r="I110" s="91">
        <v>19618239956.819538</v>
      </c>
      <c r="J110" s="91">
        <v>-28163798302</v>
      </c>
      <c r="K110" s="90">
        <v>39887312668.5</v>
      </c>
      <c r="L110" s="90">
        <v>11723514366.5</v>
      </c>
      <c r="M110" s="90">
        <v>7894725590.3195372</v>
      </c>
      <c r="N110" s="90">
        <v>11723514366.5</v>
      </c>
      <c r="O110" s="90">
        <v>39953472.819322832</v>
      </c>
      <c r="P110" s="90"/>
      <c r="Q110" s="90">
        <v>95340670</v>
      </c>
      <c r="R110" s="81">
        <v>124515387.5</v>
      </c>
      <c r="S110" s="92">
        <v>2.3791081909514893</v>
      </c>
      <c r="T110" s="90">
        <v>84024717</v>
      </c>
      <c r="U110" s="81">
        <v>87678882.5</v>
      </c>
    </row>
    <row r="111" spans="1:21" ht="17.25" x14ac:dyDescent="0.3">
      <c r="B111" s="11" t="s">
        <v>136</v>
      </c>
      <c r="C111" s="78"/>
      <c r="D111" s="83"/>
      <c r="E111" s="3" t="s">
        <v>8</v>
      </c>
      <c r="F111" s="16">
        <v>1.8231349999999997E-2</v>
      </c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4" t="s">
        <v>114</v>
      </c>
      <c r="R111" s="93">
        <v>2837796333</v>
      </c>
      <c r="S111" s="95"/>
      <c r="T111" s="95"/>
      <c r="U111" s="95"/>
    </row>
    <row r="112" spans="1:21" x14ac:dyDescent="0.3">
      <c r="A112" s="19" t="s">
        <v>9</v>
      </c>
      <c r="B112" s="20" t="s">
        <v>10</v>
      </c>
      <c r="C112" s="20"/>
      <c r="D112" s="20"/>
      <c r="E112" s="21"/>
      <c r="F112" s="21"/>
      <c r="G112" s="22" t="s">
        <v>11</v>
      </c>
      <c r="H112" s="23"/>
      <c r="I112" s="24"/>
      <c r="J112" s="20" t="s">
        <v>12</v>
      </c>
      <c r="K112" s="20"/>
      <c r="L112" s="20"/>
      <c r="M112" s="20" t="s">
        <v>13</v>
      </c>
      <c r="N112" s="20"/>
      <c r="O112" s="20"/>
      <c r="P112" s="127"/>
      <c r="Q112" s="127" t="s">
        <v>137</v>
      </c>
      <c r="R112" s="128" t="s">
        <v>138</v>
      </c>
      <c r="S112" s="22" t="s">
        <v>139</v>
      </c>
      <c r="T112" s="23"/>
      <c r="U112" s="24"/>
    </row>
    <row r="113" spans="1:21" x14ac:dyDescent="0.3">
      <c r="A113" s="25" t="s">
        <v>16</v>
      </c>
      <c r="B113" s="26" t="s">
        <v>17</v>
      </c>
      <c r="C113" s="27" t="s">
        <v>18</v>
      </c>
      <c r="D113" s="28" t="s">
        <v>97</v>
      </c>
      <c r="E113" s="26" t="s">
        <v>20</v>
      </c>
      <c r="F113" s="29" t="s">
        <v>21</v>
      </c>
      <c r="G113" s="29" t="s">
        <v>22</v>
      </c>
      <c r="H113" s="30" t="s">
        <v>5</v>
      </c>
      <c r="I113" s="31" t="s">
        <v>23</v>
      </c>
      <c r="J113" s="32" t="s">
        <v>24</v>
      </c>
      <c r="K113" s="29" t="s">
        <v>25</v>
      </c>
      <c r="L113" s="33" t="s">
        <v>26</v>
      </c>
      <c r="M113" s="26" t="s">
        <v>27</v>
      </c>
      <c r="N113" s="29" t="s">
        <v>28</v>
      </c>
      <c r="O113" s="33" t="s">
        <v>29</v>
      </c>
      <c r="P113" s="26" t="s">
        <v>30</v>
      </c>
      <c r="Q113" s="34" t="s">
        <v>2</v>
      </c>
      <c r="R113" s="33" t="s">
        <v>69</v>
      </c>
      <c r="S113" s="26" t="s">
        <v>70</v>
      </c>
      <c r="T113" s="34" t="s">
        <v>71</v>
      </c>
      <c r="U113" s="31" t="s">
        <v>98</v>
      </c>
    </row>
    <row r="114" spans="1:21" ht="17.25" x14ac:dyDescent="0.3">
      <c r="A114" s="129" t="s">
        <v>140</v>
      </c>
      <c r="B114" s="129" t="s">
        <v>141</v>
      </c>
      <c r="C114" s="130" t="s">
        <v>100</v>
      </c>
      <c r="D114" s="131">
        <v>200</v>
      </c>
      <c r="E114" s="132">
        <v>46020</v>
      </c>
      <c r="F114" s="133" t="s">
        <v>142</v>
      </c>
      <c r="G114" s="134">
        <v>-130207893.83333333</v>
      </c>
      <c r="H114" s="135">
        <v>1997956.1643835614</v>
      </c>
      <c r="I114" s="136">
        <v>137189.16666666599</v>
      </c>
      <c r="J114" s="137">
        <v>414618416</v>
      </c>
      <c r="K114" s="134">
        <v>-825180617.5</v>
      </c>
      <c r="L114" s="138">
        <v>-410562201.5</v>
      </c>
      <c r="M114" s="139">
        <v>410699390.66666669</v>
      </c>
      <c r="N114" s="140">
        <v>-540907284.5</v>
      </c>
      <c r="O114" s="141">
        <v>58671341.52380953</v>
      </c>
      <c r="P114" s="142"/>
      <c r="Q114" s="143">
        <v>45855260.759005584</v>
      </c>
      <c r="R114" s="144">
        <v>-1375349.5</v>
      </c>
      <c r="S114" s="142">
        <v>0</v>
      </c>
      <c r="T114" s="143">
        <v>678218.5</v>
      </c>
      <c r="U114" s="144"/>
    </row>
    <row r="115" spans="1:21" ht="17.25" x14ac:dyDescent="0.3">
      <c r="B115" s="78"/>
      <c r="C115" s="78"/>
      <c r="D115" s="79">
        <v>200</v>
      </c>
      <c r="E115" s="80"/>
      <c r="G115" s="90">
        <v>-130207893.83333333</v>
      </c>
      <c r="H115" s="90">
        <v>1997956.1643835614</v>
      </c>
      <c r="I115" s="91">
        <v>137189.16666666599</v>
      </c>
      <c r="J115" s="91">
        <v>414618416</v>
      </c>
      <c r="K115" s="90">
        <v>-825180617.5</v>
      </c>
      <c r="L115" s="90">
        <v>-410562201.5</v>
      </c>
      <c r="M115" s="90">
        <v>410699390.66666669</v>
      </c>
      <c r="N115" s="90">
        <v>-540907284.5</v>
      </c>
      <c r="O115" s="90">
        <v>58671341.52380953</v>
      </c>
      <c r="P115" s="90"/>
      <c r="Q115" s="90">
        <v>45855260.759005584</v>
      </c>
      <c r="R115" s="90">
        <v>-1375349.5</v>
      </c>
      <c r="S115" s="90"/>
      <c r="T115" s="90">
        <v>678218.5</v>
      </c>
      <c r="U115" s="90">
        <v>0</v>
      </c>
    </row>
    <row r="116" spans="1:21" x14ac:dyDescent="0.3">
      <c r="B116" s="11" t="s">
        <v>143</v>
      </c>
      <c r="C116" s="78"/>
      <c r="D116" s="83"/>
      <c r="E116" s="3" t="s">
        <v>8</v>
      </c>
      <c r="F116" s="16">
        <v>3.2447750103777498E-2</v>
      </c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</row>
    <row r="117" spans="1:21" x14ac:dyDescent="0.3">
      <c r="A117" s="19" t="s">
        <v>9</v>
      </c>
      <c r="B117" s="20" t="s">
        <v>10</v>
      </c>
      <c r="C117" s="20"/>
      <c r="D117" s="20"/>
      <c r="E117" s="21"/>
      <c r="F117" s="21"/>
      <c r="G117" s="22" t="s">
        <v>144</v>
      </c>
      <c r="H117" s="23"/>
      <c r="I117" s="24"/>
      <c r="J117" s="20" t="s">
        <v>12</v>
      </c>
      <c r="K117" s="20"/>
      <c r="L117" s="20"/>
      <c r="M117" s="22" t="s">
        <v>145</v>
      </c>
      <c r="N117" s="23"/>
      <c r="O117" s="23"/>
      <c r="P117" s="145"/>
      <c r="Q117" s="128" t="s">
        <v>137</v>
      </c>
      <c r="R117" s="128" t="s">
        <v>116</v>
      </c>
      <c r="S117" s="22" t="s">
        <v>116</v>
      </c>
      <c r="T117" s="23"/>
      <c r="U117" s="24"/>
    </row>
    <row r="118" spans="1:21" x14ac:dyDescent="0.3">
      <c r="A118" s="25" t="s">
        <v>16</v>
      </c>
      <c r="B118" s="26" t="s">
        <v>17</v>
      </c>
      <c r="C118" s="27" t="s">
        <v>18</v>
      </c>
      <c r="D118" s="28" t="s">
        <v>97</v>
      </c>
      <c r="E118" s="26" t="s">
        <v>20</v>
      </c>
      <c r="F118" s="29" t="s">
        <v>21</v>
      </c>
      <c r="G118" s="29" t="s">
        <v>22</v>
      </c>
      <c r="H118" s="30" t="s">
        <v>5</v>
      </c>
      <c r="I118" s="31" t="s">
        <v>23</v>
      </c>
      <c r="J118" s="32" t="s">
        <v>24</v>
      </c>
      <c r="K118" s="29" t="s">
        <v>25</v>
      </c>
      <c r="L118" s="33" t="s">
        <v>26</v>
      </c>
      <c r="M118" s="26" t="s">
        <v>27</v>
      </c>
      <c r="N118" s="29" t="s">
        <v>28</v>
      </c>
      <c r="O118" s="33" t="s">
        <v>29</v>
      </c>
      <c r="P118" s="33" t="s">
        <v>30</v>
      </c>
      <c r="Q118" s="29" t="s">
        <v>2</v>
      </c>
      <c r="R118" s="146" t="s">
        <v>146</v>
      </c>
      <c r="S118" s="33" t="s">
        <v>30</v>
      </c>
      <c r="T118" s="29" t="s">
        <v>69</v>
      </c>
      <c r="U118" s="31" t="s">
        <v>98</v>
      </c>
    </row>
    <row r="119" spans="1:21" ht="17.25" x14ac:dyDescent="0.3">
      <c r="A119" s="35" t="s">
        <v>147</v>
      </c>
      <c r="B119" s="35" t="s">
        <v>148</v>
      </c>
      <c r="C119" s="36" t="s">
        <v>100</v>
      </c>
      <c r="D119" s="37">
        <v>300</v>
      </c>
      <c r="E119" s="38">
        <v>46266</v>
      </c>
      <c r="F119" s="39">
        <v>46080</v>
      </c>
      <c r="G119" s="147">
        <v>2040783262.1092882</v>
      </c>
      <c r="H119" s="148">
        <v>0</v>
      </c>
      <c r="I119" s="149">
        <v>1176807918.1092882</v>
      </c>
      <c r="J119" s="150">
        <v>2213451783</v>
      </c>
      <c r="K119" s="147">
        <v>-1870999682.5</v>
      </c>
      <c r="L119" s="151">
        <v>342452100.5</v>
      </c>
      <c r="M119" s="152">
        <v>834355817.60928822</v>
      </c>
      <c r="N119" s="153">
        <v>1206427444.5</v>
      </c>
      <c r="O119" s="154">
        <v>3297849.0814596373</v>
      </c>
      <c r="P119" s="155"/>
      <c r="Q119" s="156">
        <v>92706201.956587583</v>
      </c>
      <c r="R119" s="157">
        <v>12144653.5</v>
      </c>
      <c r="S119" s="155">
        <v>0</v>
      </c>
      <c r="T119" s="156">
        <v>4763120.5</v>
      </c>
      <c r="U119" s="157"/>
    </row>
    <row r="120" spans="1:21" ht="17.25" x14ac:dyDescent="0.3">
      <c r="A120" s="35" t="s">
        <v>149</v>
      </c>
      <c r="B120" s="35" t="s">
        <v>150</v>
      </c>
      <c r="C120" s="36" t="s">
        <v>100</v>
      </c>
      <c r="D120" s="37">
        <v>200</v>
      </c>
      <c r="E120" s="38">
        <v>46268</v>
      </c>
      <c r="F120" s="39" t="s">
        <v>142</v>
      </c>
      <c r="G120" s="147">
        <v>1490000000</v>
      </c>
      <c r="H120" s="148">
        <v>0</v>
      </c>
      <c r="I120" s="149">
        <v>690000000</v>
      </c>
      <c r="J120" s="150">
        <v>46206862</v>
      </c>
      <c r="K120" s="147">
        <v>-679710230</v>
      </c>
      <c r="L120" s="151">
        <v>-633503368</v>
      </c>
      <c r="M120" s="152">
        <v>1323503368</v>
      </c>
      <c r="N120" s="153">
        <v>166496632</v>
      </c>
      <c r="O120" s="154">
        <v>5190209.2862745095</v>
      </c>
      <c r="P120" s="158"/>
      <c r="Q120" s="159">
        <v>147055929.77777779</v>
      </c>
      <c r="R120" s="157">
        <v>46840240.5</v>
      </c>
      <c r="S120" s="158">
        <v>0</v>
      </c>
      <c r="T120" s="159">
        <v>24063378</v>
      </c>
      <c r="U120" s="157"/>
    </row>
    <row r="121" spans="1:21" ht="17.25" x14ac:dyDescent="0.3">
      <c r="A121" s="35" t="s">
        <v>151</v>
      </c>
      <c r="B121" s="35" t="s">
        <v>152</v>
      </c>
      <c r="C121" s="36" t="s">
        <v>100</v>
      </c>
      <c r="D121" s="37">
        <v>100</v>
      </c>
      <c r="E121" s="38">
        <v>46101</v>
      </c>
      <c r="F121" s="39">
        <v>46100</v>
      </c>
      <c r="G121" s="147">
        <v>383024658.54337931</v>
      </c>
      <c r="H121" s="148">
        <v>0</v>
      </c>
      <c r="I121" s="149">
        <v>224337899.54337931</v>
      </c>
      <c r="J121" s="150">
        <v>77527598.5</v>
      </c>
      <c r="K121" s="147">
        <v>-17202817</v>
      </c>
      <c r="L121" s="151">
        <v>60324781.5</v>
      </c>
      <c r="M121" s="152">
        <v>164013118.04337931</v>
      </c>
      <c r="N121" s="153">
        <v>219011540.5</v>
      </c>
      <c r="O121" s="154">
        <v>1863785.4323111286</v>
      </c>
      <c r="P121" s="158"/>
      <c r="Q121" s="159">
        <v>18223679.782597702</v>
      </c>
      <c r="R121" s="157">
        <v>54048960.5</v>
      </c>
      <c r="S121" s="158">
        <v>-67564383</v>
      </c>
      <c r="T121" s="159">
        <v>-4533885.5</v>
      </c>
      <c r="U121" s="157"/>
    </row>
    <row r="122" spans="1:21" ht="17.25" x14ac:dyDescent="0.3">
      <c r="A122" s="35"/>
      <c r="B122" s="35" t="s">
        <v>153</v>
      </c>
      <c r="C122" s="36" t="s">
        <v>100</v>
      </c>
      <c r="D122" s="37">
        <v>100</v>
      </c>
      <c r="E122" s="38">
        <v>46317</v>
      </c>
      <c r="F122" s="39">
        <v>46043</v>
      </c>
      <c r="G122" s="147">
        <v>93290412</v>
      </c>
      <c r="H122" s="148">
        <v>0</v>
      </c>
      <c r="I122" s="149">
        <v>331000000</v>
      </c>
      <c r="J122" s="150">
        <v>-382975438.5</v>
      </c>
      <c r="K122" s="147">
        <v>40170511</v>
      </c>
      <c r="L122" s="151">
        <v>-342804927.5</v>
      </c>
      <c r="M122" s="152">
        <v>673804927.5</v>
      </c>
      <c r="N122" s="153">
        <v>-580514515.5</v>
      </c>
      <c r="O122" s="154">
        <v>2216463.5773026315</v>
      </c>
      <c r="P122" s="158"/>
      <c r="Q122" s="159">
        <v>74867214.166666672</v>
      </c>
      <c r="R122" s="157">
        <v>-44539622.5</v>
      </c>
      <c r="S122" s="158">
        <v>0</v>
      </c>
      <c r="T122" s="159">
        <v>-24615429</v>
      </c>
      <c r="U122" s="157"/>
    </row>
    <row r="123" spans="1:21" ht="17.25" x14ac:dyDescent="0.3">
      <c r="A123" s="35" t="s">
        <v>149</v>
      </c>
      <c r="B123" s="35" t="s">
        <v>154</v>
      </c>
      <c r="C123" s="36" t="s">
        <v>100</v>
      </c>
      <c r="D123" s="37">
        <v>100</v>
      </c>
      <c r="E123" s="38">
        <v>46321</v>
      </c>
      <c r="F123" s="39">
        <v>46045</v>
      </c>
      <c r="G123" s="147">
        <v>163542466.30137002</v>
      </c>
      <c r="H123" s="148">
        <v>0</v>
      </c>
      <c r="I123" s="149">
        <v>331736986.30137002</v>
      </c>
      <c r="J123" s="150">
        <v>-298985231</v>
      </c>
      <c r="K123" s="147">
        <v>70106586</v>
      </c>
      <c r="L123" s="151">
        <v>-228878645</v>
      </c>
      <c r="M123" s="152">
        <v>560615631.30137002</v>
      </c>
      <c r="N123" s="153">
        <v>-397073165</v>
      </c>
      <c r="O123" s="154">
        <v>1820180.6211083443</v>
      </c>
      <c r="P123" s="158"/>
      <c r="Q123" s="159">
        <v>62290625.700152226</v>
      </c>
      <c r="R123" s="157">
        <v>-30980323.5</v>
      </c>
      <c r="S123" s="158">
        <v>0</v>
      </c>
      <c r="T123" s="159">
        <v>-18337380</v>
      </c>
      <c r="U123" s="157"/>
    </row>
    <row r="124" spans="1:21" ht="17.25" x14ac:dyDescent="0.3">
      <c r="A124" s="35"/>
      <c r="B124" s="35" t="s">
        <v>155</v>
      </c>
      <c r="C124" s="36" t="s">
        <v>100</v>
      </c>
      <c r="D124" s="37">
        <v>200</v>
      </c>
      <c r="E124" s="38">
        <v>46331</v>
      </c>
      <c r="F124" s="39">
        <v>46057</v>
      </c>
      <c r="G124" s="147">
        <v>177419180.00000036</v>
      </c>
      <c r="H124" s="148">
        <v>0</v>
      </c>
      <c r="I124" s="149">
        <v>656000000.00000036</v>
      </c>
      <c r="J124" s="150">
        <v>-857543731</v>
      </c>
      <c r="K124" s="147">
        <v>105521918.5</v>
      </c>
      <c r="L124" s="151">
        <v>-752021812.5</v>
      </c>
      <c r="M124" s="152">
        <v>1408021812.5000005</v>
      </c>
      <c r="N124" s="153">
        <v>-1230602632.5</v>
      </c>
      <c r="O124" s="154">
        <v>4427741.5487421397</v>
      </c>
      <c r="P124" s="158"/>
      <c r="Q124" s="159">
        <v>156446868.05555561</v>
      </c>
      <c r="R124" s="157">
        <v>-71374411</v>
      </c>
      <c r="S124" s="158">
        <v>0</v>
      </c>
      <c r="T124" s="159">
        <v>-34659082</v>
      </c>
      <c r="U124" s="157"/>
    </row>
    <row r="125" spans="1:21" ht="17.25" x14ac:dyDescent="0.3">
      <c r="A125" s="35"/>
      <c r="B125" s="35" t="s">
        <v>156</v>
      </c>
      <c r="C125" s="36" t="s">
        <v>100</v>
      </c>
      <c r="D125" s="37">
        <v>200</v>
      </c>
      <c r="E125" s="38">
        <v>46350</v>
      </c>
      <c r="F125" s="39" t="s">
        <v>142</v>
      </c>
      <c r="G125" s="147">
        <v>1319834639.5652175</v>
      </c>
      <c r="H125" s="148">
        <v>0</v>
      </c>
      <c r="I125" s="149">
        <v>693260869.56521738</v>
      </c>
      <c r="J125" s="150">
        <v>1298871789.5</v>
      </c>
      <c r="K125" s="147">
        <v>-1684465494</v>
      </c>
      <c r="L125" s="151">
        <v>-385593704.5</v>
      </c>
      <c r="M125" s="152">
        <v>1078854574.0652175</v>
      </c>
      <c r="N125" s="153">
        <v>240980065.5</v>
      </c>
      <c r="O125" s="154">
        <v>3201348.884466521</v>
      </c>
      <c r="P125" s="158"/>
      <c r="Q125" s="159">
        <v>119872730.45169084</v>
      </c>
      <c r="R125" s="157">
        <v>2543505</v>
      </c>
      <c r="S125" s="158">
        <v>0</v>
      </c>
      <c r="T125" s="159">
        <v>4938108.5</v>
      </c>
      <c r="U125" s="157"/>
    </row>
    <row r="126" spans="1:21" ht="17.25" x14ac:dyDescent="0.3">
      <c r="A126" s="35"/>
      <c r="B126" s="35" t="s">
        <v>157</v>
      </c>
      <c r="C126" s="36" t="s">
        <v>100</v>
      </c>
      <c r="D126" s="37">
        <v>300</v>
      </c>
      <c r="E126" s="38">
        <v>46042</v>
      </c>
      <c r="F126" s="39" t="s">
        <v>142</v>
      </c>
      <c r="G126" s="147">
        <v>851757534.24657989</v>
      </c>
      <c r="H126" s="148">
        <v>0</v>
      </c>
      <c r="I126" s="149">
        <v>1166757534.2465799</v>
      </c>
      <c r="J126" s="150">
        <v>4566686993.5</v>
      </c>
      <c r="K126" s="147">
        <v>-1342659963</v>
      </c>
      <c r="L126" s="151">
        <v>3224027030.5</v>
      </c>
      <c r="M126" s="152">
        <v>-2057269496.2534201</v>
      </c>
      <c r="N126" s="153">
        <v>2909027030.5</v>
      </c>
      <c r="O126" s="154">
        <v>-70940327.457014486</v>
      </c>
      <c r="P126" s="158"/>
      <c r="Q126" s="159">
        <v>-228585499.58371335</v>
      </c>
      <c r="R126" s="157">
        <v>-9634635</v>
      </c>
      <c r="S126" s="158">
        <v>0</v>
      </c>
      <c r="T126" s="159">
        <v>-5349735</v>
      </c>
      <c r="U126" s="157"/>
    </row>
    <row r="127" spans="1:21" ht="17.25" x14ac:dyDescent="0.3">
      <c r="A127" s="35"/>
      <c r="B127" s="35" t="s">
        <v>158</v>
      </c>
      <c r="C127" s="36" t="s">
        <v>100</v>
      </c>
      <c r="D127" s="37">
        <v>150</v>
      </c>
      <c r="E127" s="38">
        <v>46042</v>
      </c>
      <c r="F127" s="39">
        <v>46038</v>
      </c>
      <c r="G127" s="147">
        <v>575202740.41095901</v>
      </c>
      <c r="H127" s="148">
        <v>0</v>
      </c>
      <c r="I127" s="149">
        <v>798295890.41095901</v>
      </c>
      <c r="J127" s="150">
        <v>230825494</v>
      </c>
      <c r="K127" s="147">
        <v>181579333</v>
      </c>
      <c r="L127" s="151">
        <v>412404827</v>
      </c>
      <c r="M127" s="152">
        <v>385891063.41095901</v>
      </c>
      <c r="N127" s="153">
        <v>189311677</v>
      </c>
      <c r="O127" s="154">
        <v>13306588.393481346</v>
      </c>
      <c r="P127" s="158"/>
      <c r="Q127" s="159">
        <v>42876784.823439889</v>
      </c>
      <c r="R127" s="157">
        <v>-48746929.5</v>
      </c>
      <c r="S127" s="158">
        <v>0</v>
      </c>
      <c r="T127" s="159">
        <v>-30465875.5</v>
      </c>
      <c r="U127" s="157"/>
    </row>
    <row r="128" spans="1:21" ht="17.25" x14ac:dyDescent="0.3">
      <c r="A128" s="35"/>
      <c r="B128" s="35" t="s">
        <v>159</v>
      </c>
      <c r="C128" s="36" t="s">
        <v>100</v>
      </c>
      <c r="D128" s="37">
        <v>150</v>
      </c>
      <c r="E128" s="38">
        <v>46048</v>
      </c>
      <c r="F128" s="39">
        <v>46045</v>
      </c>
      <c r="G128" s="147">
        <v>678468493.50684905</v>
      </c>
      <c r="H128" s="148">
        <v>0</v>
      </c>
      <c r="I128" s="149">
        <v>796084931.50684905</v>
      </c>
      <c r="J128" s="150">
        <v>104911580.5</v>
      </c>
      <c r="K128" s="147">
        <v>322137247</v>
      </c>
      <c r="L128" s="151">
        <v>427048827.5</v>
      </c>
      <c r="M128" s="152">
        <v>369036104.00684905</v>
      </c>
      <c r="N128" s="153">
        <v>309432389.5</v>
      </c>
      <c r="O128" s="154">
        <v>10543888.685909973</v>
      </c>
      <c r="P128" s="158"/>
      <c r="Q128" s="159">
        <v>41004011.556316562</v>
      </c>
      <c r="R128" s="157">
        <v>-47262858.5</v>
      </c>
      <c r="S128" s="158">
        <v>0</v>
      </c>
      <c r="T128" s="159">
        <v>-33916453.5</v>
      </c>
      <c r="U128" s="157"/>
    </row>
    <row r="129" spans="1:21" ht="17.25" x14ac:dyDescent="0.3">
      <c r="A129" s="35" t="s">
        <v>149</v>
      </c>
      <c r="B129" s="35" t="s">
        <v>160</v>
      </c>
      <c r="C129" s="36" t="s">
        <v>100</v>
      </c>
      <c r="D129" s="37">
        <v>150</v>
      </c>
      <c r="E129" s="38">
        <v>46097</v>
      </c>
      <c r="F129" s="39">
        <v>46094</v>
      </c>
      <c r="G129" s="147">
        <v>571705480.38356197</v>
      </c>
      <c r="H129" s="148">
        <v>0</v>
      </c>
      <c r="I129" s="149">
        <v>788556164.38356197</v>
      </c>
      <c r="J129" s="150">
        <v>45145046.5</v>
      </c>
      <c r="K129" s="147">
        <v>632090579.5</v>
      </c>
      <c r="L129" s="151">
        <v>677235626</v>
      </c>
      <c r="M129" s="152">
        <v>111320538.38356197</v>
      </c>
      <c r="N129" s="153">
        <v>460384942</v>
      </c>
      <c r="O129" s="154">
        <v>1325244.5045662138</v>
      </c>
      <c r="P129" s="158"/>
      <c r="Q129" s="159">
        <v>12368948.709284663</v>
      </c>
      <c r="R129" s="157">
        <v>1148636.5</v>
      </c>
      <c r="S129" s="158">
        <v>0</v>
      </c>
      <c r="T129" s="159">
        <v>3181968.5</v>
      </c>
      <c r="U129" s="50">
        <v>2855224</v>
      </c>
    </row>
    <row r="130" spans="1:21" ht="17.25" x14ac:dyDescent="0.3">
      <c r="A130" s="35"/>
      <c r="B130" s="35" t="s">
        <v>161</v>
      </c>
      <c r="C130" s="36" t="s">
        <v>102</v>
      </c>
      <c r="D130" s="37">
        <v>150</v>
      </c>
      <c r="E130" s="38">
        <v>46098</v>
      </c>
      <c r="F130" s="39">
        <v>46097</v>
      </c>
      <c r="G130" s="147">
        <v>573904110.90410995</v>
      </c>
      <c r="H130" s="148">
        <v>0</v>
      </c>
      <c r="I130" s="149">
        <v>789410958.90410995</v>
      </c>
      <c r="J130" s="150">
        <v>7750547.5</v>
      </c>
      <c r="K130" s="147">
        <v>632262656.5</v>
      </c>
      <c r="L130" s="151">
        <v>640013204</v>
      </c>
      <c r="M130" s="152">
        <v>149397754.90410995</v>
      </c>
      <c r="N130" s="153">
        <v>424506356</v>
      </c>
      <c r="O130" s="154">
        <v>1757620.6459307054</v>
      </c>
      <c r="P130" s="158"/>
      <c r="Q130" s="159">
        <v>16599750.544901107</v>
      </c>
      <c r="R130" s="157">
        <v>-3805973.5</v>
      </c>
      <c r="S130" s="158">
        <v>0</v>
      </c>
      <c r="T130" s="159">
        <v>-604252</v>
      </c>
      <c r="U130" s="50">
        <v>2700068.5</v>
      </c>
    </row>
    <row r="131" spans="1:21" ht="17.25" x14ac:dyDescent="0.3">
      <c r="A131" s="35"/>
      <c r="B131" s="35" t="s">
        <v>162</v>
      </c>
      <c r="C131" s="36" t="s">
        <v>102</v>
      </c>
      <c r="D131" s="37">
        <v>200</v>
      </c>
      <c r="E131" s="38">
        <v>46169</v>
      </c>
      <c r="F131" s="39">
        <v>46079</v>
      </c>
      <c r="G131" s="147">
        <v>1302049317.3698623</v>
      </c>
      <c r="H131" s="148">
        <v>0</v>
      </c>
      <c r="I131" s="149">
        <v>912986301.36986232</v>
      </c>
      <c r="J131" s="150">
        <v>397658887.5</v>
      </c>
      <c r="K131" s="147">
        <v>204825127</v>
      </c>
      <c r="L131" s="151">
        <v>602484014.5</v>
      </c>
      <c r="M131" s="152">
        <v>310502286.86986232</v>
      </c>
      <c r="N131" s="153">
        <v>991547030.5</v>
      </c>
      <c r="O131" s="154">
        <v>1990399.2748068098</v>
      </c>
      <c r="P131" s="158"/>
      <c r="Q131" s="159">
        <v>34500254.096651368</v>
      </c>
      <c r="R131" s="157">
        <v>-13158901.5</v>
      </c>
      <c r="S131" s="158">
        <v>0</v>
      </c>
      <c r="T131" s="159">
        <v>26557297.5</v>
      </c>
      <c r="U131" s="157"/>
    </row>
    <row r="132" spans="1:21" ht="17.25" x14ac:dyDescent="0.3">
      <c r="A132" s="160"/>
      <c r="B132" s="160" t="s">
        <v>163</v>
      </c>
      <c r="C132" s="161" t="s">
        <v>102</v>
      </c>
      <c r="D132" s="162">
        <v>100</v>
      </c>
      <c r="E132" s="163">
        <v>46181</v>
      </c>
      <c r="F132" s="164" t="s">
        <v>142</v>
      </c>
      <c r="G132" s="165">
        <v>1169991444.2054791</v>
      </c>
      <c r="H132" s="166">
        <v>0</v>
      </c>
      <c r="I132" s="167">
        <v>400547945.20547903</v>
      </c>
      <c r="J132" s="168">
        <v>340311673.5</v>
      </c>
      <c r="K132" s="165">
        <v>0</v>
      </c>
      <c r="L132" s="169">
        <v>340311673.5</v>
      </c>
      <c r="M132" s="170">
        <v>60236271.705479026</v>
      </c>
      <c r="N132" s="171">
        <v>1109755172.5</v>
      </c>
      <c r="O132" s="172">
        <v>358549.23634213704</v>
      </c>
      <c r="P132" s="173"/>
      <c r="Q132" s="174">
        <v>6692919.0783865582</v>
      </c>
      <c r="R132" s="175">
        <v>4062556.5</v>
      </c>
      <c r="S132" s="173">
        <v>0</v>
      </c>
      <c r="T132" s="174">
        <v>4029415</v>
      </c>
      <c r="U132" s="175"/>
    </row>
    <row r="133" spans="1:21" ht="17.25" x14ac:dyDescent="0.3">
      <c r="A133" s="35"/>
      <c r="B133" s="35" t="s">
        <v>164</v>
      </c>
      <c r="C133" s="36" t="s">
        <v>102</v>
      </c>
      <c r="D133" s="37">
        <v>100</v>
      </c>
      <c r="E133" s="38">
        <v>46188</v>
      </c>
      <c r="F133" s="39" t="s">
        <v>142</v>
      </c>
      <c r="G133" s="147">
        <v>1354205706.8082192</v>
      </c>
      <c r="H133" s="148">
        <v>0</v>
      </c>
      <c r="I133" s="149">
        <v>495821917.80821925</v>
      </c>
      <c r="J133" s="150">
        <v>1290885257.5</v>
      </c>
      <c r="K133" s="147">
        <v>-1631083442.5</v>
      </c>
      <c r="L133" s="151">
        <v>-340198185</v>
      </c>
      <c r="M133" s="152">
        <v>836020102.80821919</v>
      </c>
      <c r="N133" s="153">
        <v>518185604</v>
      </c>
      <c r="O133" s="154">
        <v>4777257.730332681</v>
      </c>
      <c r="P133" s="158">
        <v>-49863013</v>
      </c>
      <c r="Q133" s="159">
        <v>92891122.534246579</v>
      </c>
      <c r="R133" s="157">
        <v>-49277283</v>
      </c>
      <c r="S133" s="158">
        <v>0</v>
      </c>
      <c r="T133" s="159">
        <v>1006958.5</v>
      </c>
      <c r="U133" s="157"/>
    </row>
    <row r="134" spans="1:21" ht="17.25" x14ac:dyDescent="0.3">
      <c r="A134" s="35"/>
      <c r="B134" s="35" t="s">
        <v>165</v>
      </c>
      <c r="C134" s="36" t="s">
        <v>102</v>
      </c>
      <c r="D134" s="37">
        <v>200</v>
      </c>
      <c r="E134" s="38">
        <v>46204</v>
      </c>
      <c r="F134" s="39" t="s">
        <v>142</v>
      </c>
      <c r="G134" s="147">
        <v>1570000000</v>
      </c>
      <c r="H134" s="148">
        <v>0</v>
      </c>
      <c r="I134" s="149">
        <v>750000000</v>
      </c>
      <c r="J134" s="150">
        <v>-570863646</v>
      </c>
      <c r="K134" s="147">
        <v>-293352217</v>
      </c>
      <c r="L134" s="151">
        <v>-864215863</v>
      </c>
      <c r="M134" s="152">
        <v>1614215863</v>
      </c>
      <c r="N134" s="153">
        <v>-44215863</v>
      </c>
      <c r="O134" s="154">
        <v>8451391.9528795816</v>
      </c>
      <c r="P134" s="158"/>
      <c r="Q134" s="159">
        <v>179357318.1111111</v>
      </c>
      <c r="R134" s="157">
        <v>-25107379</v>
      </c>
      <c r="S134" s="158">
        <v>0</v>
      </c>
      <c r="T134" s="159">
        <v>-19906249</v>
      </c>
      <c r="U134" s="157"/>
    </row>
    <row r="135" spans="1:21" ht="17.25" x14ac:dyDescent="0.3">
      <c r="A135" s="35"/>
      <c r="B135" s="176" t="s">
        <v>166</v>
      </c>
      <c r="C135" s="36" t="s">
        <v>100</v>
      </c>
      <c r="D135" s="37">
        <v>300</v>
      </c>
      <c r="E135" s="38">
        <v>46218</v>
      </c>
      <c r="F135" s="39">
        <v>46036</v>
      </c>
      <c r="G135" s="40">
        <v>1215189041.0958917</v>
      </c>
      <c r="H135" s="41">
        <v>0</v>
      </c>
      <c r="I135" s="177">
        <v>1215189041.0958917</v>
      </c>
      <c r="J135" s="43">
        <v>1173494085.5</v>
      </c>
      <c r="K135" s="40">
        <v>-1644772891.5</v>
      </c>
      <c r="L135" s="178">
        <v>-471278806</v>
      </c>
      <c r="M135" s="179">
        <v>1686467847.0958917</v>
      </c>
      <c r="N135" s="46">
        <v>-471278806</v>
      </c>
      <c r="O135" s="47">
        <v>8226672.4248580085</v>
      </c>
      <c r="P135" s="48"/>
      <c r="Q135" s="49">
        <v>187385316.34398797</v>
      </c>
      <c r="R135" s="50">
        <v>10499271.5</v>
      </c>
      <c r="S135" s="48">
        <v>0</v>
      </c>
      <c r="T135" s="49">
        <v>-588289.5</v>
      </c>
      <c r="U135" s="50"/>
    </row>
    <row r="136" spans="1:21" ht="17.25" x14ac:dyDescent="0.3">
      <c r="A136" s="62"/>
      <c r="B136" s="62" t="s">
        <v>167</v>
      </c>
      <c r="C136" s="63" t="s">
        <v>100</v>
      </c>
      <c r="D136" s="99">
        <v>300</v>
      </c>
      <c r="E136" s="65">
        <v>46155</v>
      </c>
      <c r="F136" s="66">
        <v>46065</v>
      </c>
      <c r="G136" s="100">
        <v>1419402739.7260268</v>
      </c>
      <c r="H136" s="101">
        <v>0</v>
      </c>
      <c r="I136" s="180">
        <v>1419402739.7260268</v>
      </c>
      <c r="J136" s="102">
        <v>2835884145.5</v>
      </c>
      <c r="K136" s="100">
        <v>-2057262908</v>
      </c>
      <c r="L136" s="181">
        <v>778621237.5</v>
      </c>
      <c r="M136" s="182">
        <v>640781502.22602677</v>
      </c>
      <c r="N136" s="73">
        <v>778621237.5</v>
      </c>
      <c r="O136" s="103">
        <v>4512545.790324132</v>
      </c>
      <c r="P136" s="104"/>
      <c r="Q136" s="76">
        <v>71197944.691780746</v>
      </c>
      <c r="R136" s="100">
        <v>5725325</v>
      </c>
      <c r="S136" s="104">
        <v>0</v>
      </c>
      <c r="T136" s="76">
        <v>-3969031</v>
      </c>
      <c r="U136" s="100"/>
    </row>
    <row r="137" spans="1:21" ht="17.25" x14ac:dyDescent="0.3">
      <c r="D137" s="79">
        <v>3300</v>
      </c>
      <c r="G137" s="183">
        <v>16949771227.176794</v>
      </c>
      <c r="H137" s="183">
        <v>0</v>
      </c>
      <c r="I137" s="184">
        <v>13636197098.176796</v>
      </c>
      <c r="J137" s="184">
        <v>12519243698</v>
      </c>
      <c r="K137" s="183">
        <v>-9032815687</v>
      </c>
      <c r="L137" s="183">
        <v>3486428011</v>
      </c>
      <c r="M137" s="183">
        <v>10149769087.176796</v>
      </c>
      <c r="N137" s="183">
        <v>6800002140</v>
      </c>
      <c r="O137" s="183">
        <v>6327409.6140820086</v>
      </c>
      <c r="P137" s="183"/>
      <c r="Q137" s="183">
        <v>1127752120.7974215</v>
      </c>
      <c r="R137" s="183">
        <v>-206875168</v>
      </c>
      <c r="S137" s="183"/>
      <c r="T137" s="183">
        <v>-108405415.5</v>
      </c>
      <c r="U137" s="183">
        <v>5555292.5</v>
      </c>
    </row>
    <row r="138" spans="1:21" x14ac:dyDescent="0.3">
      <c r="B138" s="11" t="s">
        <v>168</v>
      </c>
      <c r="D138" s="83"/>
      <c r="E138" s="3" t="s">
        <v>8</v>
      </c>
      <c r="F138" s="16">
        <v>1.9800000000000002E-2</v>
      </c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</row>
    <row r="139" spans="1:21" x14ac:dyDescent="0.3">
      <c r="A139" s="19" t="s">
        <v>9</v>
      </c>
      <c r="B139" s="20" t="s">
        <v>10</v>
      </c>
      <c r="C139" s="20"/>
      <c r="D139" s="20"/>
      <c r="E139" s="21"/>
      <c r="F139" s="21"/>
      <c r="G139" s="22" t="s">
        <v>11</v>
      </c>
      <c r="H139" s="23"/>
      <c r="I139" s="24"/>
      <c r="J139" s="20" t="s">
        <v>12</v>
      </c>
      <c r="K139" s="20"/>
      <c r="L139" s="20"/>
      <c r="M139" s="20" t="s">
        <v>13</v>
      </c>
      <c r="N139" s="20"/>
      <c r="O139" s="20"/>
      <c r="P139" s="127"/>
      <c r="Q139" s="185" t="s">
        <v>137</v>
      </c>
      <c r="R139" s="128" t="s">
        <v>116</v>
      </c>
      <c r="S139" s="22" t="s">
        <v>116</v>
      </c>
      <c r="T139" s="23"/>
      <c r="U139" s="24"/>
    </row>
    <row r="140" spans="1:21" x14ac:dyDescent="0.3">
      <c r="A140" s="25" t="s">
        <v>16</v>
      </c>
      <c r="B140" s="26" t="s">
        <v>17</v>
      </c>
      <c r="C140" s="27" t="s">
        <v>18</v>
      </c>
      <c r="D140" s="28" t="s">
        <v>97</v>
      </c>
      <c r="E140" s="26" t="s">
        <v>20</v>
      </c>
      <c r="F140" s="29" t="s">
        <v>21</v>
      </c>
      <c r="G140" s="29" t="s">
        <v>22</v>
      </c>
      <c r="H140" s="30" t="s">
        <v>5</v>
      </c>
      <c r="I140" s="31" t="s">
        <v>23</v>
      </c>
      <c r="J140" s="32" t="s">
        <v>24</v>
      </c>
      <c r="K140" s="29" t="s">
        <v>25</v>
      </c>
      <c r="L140" s="33" t="s">
        <v>26</v>
      </c>
      <c r="M140" s="26" t="s">
        <v>27</v>
      </c>
      <c r="N140" s="29" t="s">
        <v>28</v>
      </c>
      <c r="O140" s="33" t="s">
        <v>29</v>
      </c>
      <c r="P140" s="26" t="s">
        <v>30</v>
      </c>
      <c r="Q140" s="29" t="s">
        <v>2</v>
      </c>
      <c r="R140" s="146" t="s">
        <v>69</v>
      </c>
      <c r="S140" s="26" t="s">
        <v>30</v>
      </c>
      <c r="T140" s="29" t="s">
        <v>169</v>
      </c>
      <c r="U140" s="31" t="s">
        <v>98</v>
      </c>
    </row>
    <row r="141" spans="1:21" ht="17.25" x14ac:dyDescent="0.3">
      <c r="A141" s="35" t="s">
        <v>149</v>
      </c>
      <c r="B141" s="35" t="s">
        <v>170</v>
      </c>
      <c r="C141" s="36" t="s">
        <v>100</v>
      </c>
      <c r="D141" s="37">
        <v>200</v>
      </c>
      <c r="E141" s="38">
        <v>46063</v>
      </c>
      <c r="F141" s="39" t="s">
        <v>142</v>
      </c>
      <c r="G141" s="147">
        <v>1455205483.6712329</v>
      </c>
      <c r="H141" s="148">
        <v>0</v>
      </c>
      <c r="I141" s="186">
        <v>931123287.67123294</v>
      </c>
      <c r="J141" s="187">
        <v>985637339</v>
      </c>
      <c r="K141" s="40">
        <v>73946774.5</v>
      </c>
      <c r="L141" s="151">
        <v>1059584113.5</v>
      </c>
      <c r="M141" s="152">
        <v>-128460825.82876706</v>
      </c>
      <c r="N141" s="153">
        <v>1583666309.5</v>
      </c>
      <c r="O141" s="154">
        <v>-2569216.5165753411</v>
      </c>
      <c r="P141" s="158"/>
      <c r="Q141" s="188">
        <v>-14273425.092085229</v>
      </c>
      <c r="R141" s="157">
        <v>15928510</v>
      </c>
      <c r="S141" s="158">
        <v>0</v>
      </c>
      <c r="T141" s="189">
        <v>15928510</v>
      </c>
      <c r="U141" s="50">
        <v>14362595.5</v>
      </c>
    </row>
    <row r="142" spans="1:21" ht="17.25" x14ac:dyDescent="0.3">
      <c r="A142" s="35" t="s">
        <v>147</v>
      </c>
      <c r="B142" s="35" t="s">
        <v>171</v>
      </c>
      <c r="C142" s="36" t="s">
        <v>100</v>
      </c>
      <c r="D142" s="37">
        <v>300</v>
      </c>
      <c r="E142" s="38">
        <v>46182</v>
      </c>
      <c r="F142" s="39" t="s">
        <v>142</v>
      </c>
      <c r="G142" s="147">
        <v>2063342467.6986294</v>
      </c>
      <c r="H142" s="148">
        <v>0</v>
      </c>
      <c r="I142" s="186">
        <v>1135463013.6986294</v>
      </c>
      <c r="J142" s="187">
        <v>1244625719.5</v>
      </c>
      <c r="K142" s="147">
        <v>-1209757831.5</v>
      </c>
      <c r="L142" s="151">
        <v>34867888</v>
      </c>
      <c r="M142" s="152">
        <v>1100595125.6986294</v>
      </c>
      <c r="N142" s="153">
        <v>962747342</v>
      </c>
      <c r="O142" s="154">
        <v>6512397.1934830137</v>
      </c>
      <c r="P142" s="190"/>
      <c r="Q142" s="153">
        <v>122288347.29984771</v>
      </c>
      <c r="R142" s="191">
        <v>3832867.5</v>
      </c>
      <c r="S142" s="158">
        <v>0</v>
      </c>
      <c r="T142" s="183">
        <v>5959319</v>
      </c>
      <c r="U142" s="191"/>
    </row>
    <row r="143" spans="1:21" ht="17.25" x14ac:dyDescent="0.3">
      <c r="A143" s="35" t="s">
        <v>147</v>
      </c>
      <c r="B143" s="35" t="s">
        <v>172</v>
      </c>
      <c r="C143" s="36" t="s">
        <v>100</v>
      </c>
      <c r="D143" s="37">
        <v>500</v>
      </c>
      <c r="E143" s="38">
        <v>46188</v>
      </c>
      <c r="F143" s="39" t="s">
        <v>142</v>
      </c>
      <c r="G143" s="147">
        <v>3785410959.6027403</v>
      </c>
      <c r="H143" s="148">
        <v>0</v>
      </c>
      <c r="I143" s="186">
        <v>940273972.60274005</v>
      </c>
      <c r="J143" s="187">
        <v>923850577.5</v>
      </c>
      <c r="K143" s="147">
        <v>-2226801950.5</v>
      </c>
      <c r="L143" s="151">
        <v>-1302951373</v>
      </c>
      <c r="M143" s="152">
        <v>2243225345.6027403</v>
      </c>
      <c r="N143" s="153">
        <v>1542185614</v>
      </c>
      <c r="O143" s="154">
        <v>12818430.546301372</v>
      </c>
      <c r="P143" s="158"/>
      <c r="Q143" s="153">
        <v>249247260.62252671</v>
      </c>
      <c r="R143" s="157">
        <v>3840320</v>
      </c>
      <c r="S143" s="158">
        <v>0</v>
      </c>
      <c r="T143" s="153">
        <v>7054023.5</v>
      </c>
      <c r="U143" s="157"/>
    </row>
    <row r="144" spans="1:21" ht="17.25" x14ac:dyDescent="0.3">
      <c r="A144" s="35" t="s">
        <v>147</v>
      </c>
      <c r="B144" s="35" t="s">
        <v>173</v>
      </c>
      <c r="C144" s="36" t="s">
        <v>100</v>
      </c>
      <c r="D144" s="37">
        <v>500</v>
      </c>
      <c r="E144" s="38">
        <v>46255</v>
      </c>
      <c r="F144" s="39" t="s">
        <v>142</v>
      </c>
      <c r="G144" s="147">
        <v>2844794521</v>
      </c>
      <c r="H144" s="148">
        <v>0</v>
      </c>
      <c r="I144" s="186">
        <v>950000000</v>
      </c>
      <c r="J144" s="187">
        <v>495689249</v>
      </c>
      <c r="K144" s="147">
        <v>-1169382700.5</v>
      </c>
      <c r="L144" s="151">
        <v>-673693451.5</v>
      </c>
      <c r="M144" s="152">
        <v>1623693451.5</v>
      </c>
      <c r="N144" s="153">
        <v>1221101069.5</v>
      </c>
      <c r="O144" s="154">
        <v>6709477.07231405</v>
      </c>
      <c r="P144" s="158"/>
      <c r="Q144" s="153">
        <v>180410383.5</v>
      </c>
      <c r="R144" s="157">
        <v>2956293.5</v>
      </c>
      <c r="S144" s="158">
        <v>0</v>
      </c>
      <c r="T144" s="153">
        <v>2491864</v>
      </c>
      <c r="U144" s="157"/>
    </row>
    <row r="145" spans="1:21" ht="17.25" x14ac:dyDescent="0.3">
      <c r="A145" s="35"/>
      <c r="B145" s="35" t="s">
        <v>174</v>
      </c>
      <c r="C145" s="192" t="s">
        <v>100</v>
      </c>
      <c r="D145" s="37">
        <v>200</v>
      </c>
      <c r="E145" s="38">
        <v>46310</v>
      </c>
      <c r="F145" s="39" t="s">
        <v>142</v>
      </c>
      <c r="G145" s="147">
        <v>1020000000</v>
      </c>
      <c r="H145" s="148">
        <v>0</v>
      </c>
      <c r="I145" s="186">
        <v>510000000</v>
      </c>
      <c r="J145" s="187">
        <v>952873922.5</v>
      </c>
      <c r="K145" s="147">
        <v>-350994536</v>
      </c>
      <c r="L145" s="151">
        <v>601879386.5</v>
      </c>
      <c r="M145" s="152">
        <v>-91879386.5</v>
      </c>
      <c r="N145" s="153">
        <v>1111879386.5</v>
      </c>
      <c r="O145" s="154">
        <v>-309358.20370370371</v>
      </c>
      <c r="P145" s="158"/>
      <c r="Q145" s="153">
        <v>-10208820.722222222</v>
      </c>
      <c r="R145" s="157">
        <v>12010445.5</v>
      </c>
      <c r="S145" s="158">
        <v>0</v>
      </c>
      <c r="T145" s="153">
        <v>9709136</v>
      </c>
      <c r="U145" s="157"/>
    </row>
    <row r="146" spans="1:21" ht="17.25" x14ac:dyDescent="0.3">
      <c r="A146" s="62" t="s">
        <v>149</v>
      </c>
      <c r="B146" s="62" t="s">
        <v>175</v>
      </c>
      <c r="C146" s="63" t="s">
        <v>100</v>
      </c>
      <c r="D146" s="99">
        <v>500</v>
      </c>
      <c r="E146" s="65">
        <v>46168</v>
      </c>
      <c r="F146" s="66" t="s">
        <v>142</v>
      </c>
      <c r="G146" s="193">
        <v>2831589041.8219199</v>
      </c>
      <c r="H146" s="193">
        <v>0</v>
      </c>
      <c r="I146" s="194">
        <v>936191780.82191992</v>
      </c>
      <c r="J146" s="195">
        <v>627807853</v>
      </c>
      <c r="K146" s="193">
        <v>-1417796558.5</v>
      </c>
      <c r="L146" s="196">
        <v>-789988705.5</v>
      </c>
      <c r="M146" s="197">
        <v>1726180486.3219199</v>
      </c>
      <c r="N146" s="198">
        <v>1105408555.5</v>
      </c>
      <c r="O146" s="199">
        <v>11136648.298851097</v>
      </c>
      <c r="P146" s="200"/>
      <c r="Q146" s="198">
        <v>191797831.81354666</v>
      </c>
      <c r="R146" s="201">
        <v>-24594547.5</v>
      </c>
      <c r="S146" s="200">
        <v>0</v>
      </c>
      <c r="T146" s="198">
        <v>-17033460</v>
      </c>
      <c r="U146" s="201"/>
    </row>
    <row r="147" spans="1:21" ht="17.25" x14ac:dyDescent="0.3">
      <c r="D147" s="79">
        <v>2000</v>
      </c>
      <c r="E147" s="80"/>
      <c r="G147" s="202">
        <v>12545136990.123289</v>
      </c>
      <c r="H147" s="202">
        <v>0</v>
      </c>
      <c r="I147" s="203">
        <v>4471928767.1232891</v>
      </c>
      <c r="J147" s="203">
        <v>4244847321.5</v>
      </c>
      <c r="K147" s="202">
        <v>-6374733577</v>
      </c>
      <c r="L147" s="202">
        <v>-2129886255.5</v>
      </c>
      <c r="M147" s="202">
        <v>6601815022.6232891</v>
      </c>
      <c r="N147" s="202">
        <v>5943321967.5</v>
      </c>
      <c r="O147" s="202">
        <v>36867594.90724583</v>
      </c>
      <c r="P147" s="202"/>
      <c r="Q147" s="202">
        <v>733535002.51369894</v>
      </c>
      <c r="R147" s="202">
        <v>13973889</v>
      </c>
      <c r="S147" s="202"/>
      <c r="T147" s="202">
        <v>24109392.5</v>
      </c>
      <c r="U147" s="202">
        <v>14362595.5</v>
      </c>
    </row>
    <row r="148" spans="1:21" x14ac:dyDescent="0.3">
      <c r="B148" s="11" t="s">
        <v>176</v>
      </c>
      <c r="D148" s="83"/>
      <c r="E148" s="3" t="s">
        <v>8</v>
      </c>
      <c r="F148" s="16">
        <v>5.1536541570234981E-3</v>
      </c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</row>
    <row r="149" spans="1:21" x14ac:dyDescent="0.3">
      <c r="A149" s="19" t="s">
        <v>9</v>
      </c>
      <c r="B149" s="20" t="s">
        <v>10</v>
      </c>
      <c r="C149" s="20"/>
      <c r="D149" s="20"/>
      <c r="E149" s="21"/>
      <c r="F149" s="21"/>
      <c r="G149" s="22" t="s">
        <v>11</v>
      </c>
      <c r="H149" s="23"/>
      <c r="I149" s="24"/>
      <c r="J149" s="20" t="s">
        <v>12</v>
      </c>
      <c r="K149" s="20"/>
      <c r="L149" s="20"/>
      <c r="M149" s="20" t="s">
        <v>13</v>
      </c>
      <c r="N149" s="20"/>
      <c r="O149" s="20"/>
      <c r="P149" s="127"/>
      <c r="Q149" s="127" t="s">
        <v>137</v>
      </c>
      <c r="R149" s="128" t="s">
        <v>138</v>
      </c>
      <c r="S149" s="22" t="s">
        <v>116</v>
      </c>
      <c r="T149" s="23"/>
      <c r="U149" s="24"/>
    </row>
    <row r="150" spans="1:21" x14ac:dyDescent="0.3">
      <c r="A150" s="25" t="s">
        <v>16</v>
      </c>
      <c r="B150" s="26" t="s">
        <v>17</v>
      </c>
      <c r="C150" s="27" t="s">
        <v>18</v>
      </c>
      <c r="D150" s="28" t="s">
        <v>97</v>
      </c>
      <c r="E150" s="26" t="s">
        <v>20</v>
      </c>
      <c r="F150" s="29" t="s">
        <v>21</v>
      </c>
      <c r="G150" s="29" t="s">
        <v>22</v>
      </c>
      <c r="H150" s="30" t="s">
        <v>5</v>
      </c>
      <c r="I150" s="31" t="s">
        <v>23</v>
      </c>
      <c r="J150" s="32" t="s">
        <v>24</v>
      </c>
      <c r="K150" s="29" t="s">
        <v>25</v>
      </c>
      <c r="L150" s="33" t="s">
        <v>26</v>
      </c>
      <c r="M150" s="26" t="s">
        <v>27</v>
      </c>
      <c r="N150" s="29" t="s">
        <v>28</v>
      </c>
      <c r="O150" s="33" t="s">
        <v>29</v>
      </c>
      <c r="P150" s="26" t="s">
        <v>30</v>
      </c>
      <c r="Q150" s="29" t="s">
        <v>2</v>
      </c>
      <c r="R150" s="146" t="s">
        <v>69</v>
      </c>
      <c r="S150" s="26" t="s">
        <v>30</v>
      </c>
      <c r="T150" s="29" t="s">
        <v>71</v>
      </c>
      <c r="U150" s="146"/>
    </row>
    <row r="151" spans="1:21" ht="17.25" x14ac:dyDescent="0.3">
      <c r="A151" s="35" t="s">
        <v>149</v>
      </c>
      <c r="B151" s="35" t="s">
        <v>177</v>
      </c>
      <c r="C151" s="36" t="s">
        <v>100</v>
      </c>
      <c r="D151" s="37">
        <v>200</v>
      </c>
      <c r="E151" s="38">
        <v>46204</v>
      </c>
      <c r="F151" s="39" t="s">
        <v>142</v>
      </c>
      <c r="G151" s="147">
        <v>529921098</v>
      </c>
      <c r="H151" s="148">
        <v>0</v>
      </c>
      <c r="I151" s="186">
        <v>470000000</v>
      </c>
      <c r="J151" s="187">
        <v>-966212876</v>
      </c>
      <c r="K151" s="147">
        <v>802349487.5</v>
      </c>
      <c r="L151" s="151">
        <v>-163863388.5</v>
      </c>
      <c r="M151" s="152">
        <v>633863388.5</v>
      </c>
      <c r="N151" s="153">
        <v>-103942290.5</v>
      </c>
      <c r="O151" s="154">
        <v>3318656.4842931936</v>
      </c>
      <c r="P151" s="158"/>
      <c r="Q151" s="188">
        <v>70429265.388888896</v>
      </c>
      <c r="R151" s="157">
        <v>32508183.5</v>
      </c>
      <c r="S151" s="158">
        <v>0</v>
      </c>
      <c r="T151" s="188">
        <v>7426980</v>
      </c>
      <c r="U151" s="157"/>
    </row>
    <row r="152" spans="1:21" ht="17.25" x14ac:dyDescent="0.3">
      <c r="A152" s="35" t="s">
        <v>140</v>
      </c>
      <c r="B152" s="35" t="s">
        <v>178</v>
      </c>
      <c r="C152" s="36" t="s">
        <v>100</v>
      </c>
      <c r="D152" s="37">
        <v>200</v>
      </c>
      <c r="E152" s="38">
        <v>46239</v>
      </c>
      <c r="F152" s="39" t="s">
        <v>142</v>
      </c>
      <c r="G152" s="147">
        <v>-89994043.273931026</v>
      </c>
      <c r="H152" s="148">
        <v>0</v>
      </c>
      <c r="I152" s="186">
        <v>-97917260.273931026</v>
      </c>
      <c r="J152" s="187">
        <v>-422506459.5</v>
      </c>
      <c r="K152" s="147">
        <v>-14652703</v>
      </c>
      <c r="L152" s="151">
        <v>-437159162.5</v>
      </c>
      <c r="M152" s="152">
        <v>339241902.22606897</v>
      </c>
      <c r="N152" s="153">
        <v>-429235945.5</v>
      </c>
      <c r="O152" s="154">
        <v>1501070.3638321636</v>
      </c>
      <c r="P152" s="158"/>
      <c r="Q152" s="153">
        <v>37693544.69178544</v>
      </c>
      <c r="R152" s="157">
        <v>29630718.5</v>
      </c>
      <c r="S152" s="158">
        <v>0</v>
      </c>
      <c r="T152" s="153">
        <v>9013611.5</v>
      </c>
      <c r="U152" s="157"/>
    </row>
    <row r="153" spans="1:21" ht="17.25" x14ac:dyDescent="0.3">
      <c r="A153" s="62" t="s">
        <v>140</v>
      </c>
      <c r="B153" s="62" t="s">
        <v>179</v>
      </c>
      <c r="C153" s="63" t="s">
        <v>100</v>
      </c>
      <c r="D153" s="99">
        <v>200</v>
      </c>
      <c r="E153" s="65">
        <v>46279</v>
      </c>
      <c r="F153" s="66" t="s">
        <v>142</v>
      </c>
      <c r="G153" s="193">
        <v>-122757295.8937</v>
      </c>
      <c r="H153" s="193">
        <v>0</v>
      </c>
      <c r="I153" s="194">
        <v>-61767599.893700004</v>
      </c>
      <c r="J153" s="195">
        <v>-539577858.5</v>
      </c>
      <c r="K153" s="193">
        <v>179679028.5</v>
      </c>
      <c r="L153" s="196">
        <v>-359898830</v>
      </c>
      <c r="M153" s="197">
        <v>298131230.1063</v>
      </c>
      <c r="N153" s="198">
        <v>-420888526</v>
      </c>
      <c r="O153" s="199">
        <v>1120794.098143985</v>
      </c>
      <c r="P153" s="200"/>
      <c r="Q153" s="204">
        <v>33125692.234033331</v>
      </c>
      <c r="R153" s="205">
        <v>26813027.5</v>
      </c>
      <c r="S153" s="200">
        <v>0</v>
      </c>
      <c r="T153" s="204">
        <v>5890504</v>
      </c>
      <c r="U153" s="205"/>
    </row>
    <row r="154" spans="1:21" ht="17.25" x14ac:dyDescent="0.3">
      <c r="B154" s="78"/>
      <c r="C154" s="78"/>
      <c r="D154" s="79">
        <v>600</v>
      </c>
      <c r="E154" s="80"/>
      <c r="G154" s="206">
        <v>317169758.83236897</v>
      </c>
      <c r="H154" s="206">
        <v>0</v>
      </c>
      <c r="I154" s="207">
        <v>310315139.83236897</v>
      </c>
      <c r="J154" s="207">
        <v>-1928297194</v>
      </c>
      <c r="K154" s="206">
        <v>967375813</v>
      </c>
      <c r="L154" s="206">
        <v>-960921381</v>
      </c>
      <c r="M154" s="206">
        <v>1271236520.8323689</v>
      </c>
      <c r="N154" s="206">
        <v>-954066762</v>
      </c>
      <c r="O154" s="206">
        <v>5940520.9462693427</v>
      </c>
      <c r="P154" s="206"/>
      <c r="Q154" s="206">
        <v>141248502.31470767</v>
      </c>
      <c r="R154" s="202">
        <v>88951929.5</v>
      </c>
      <c r="S154" s="206"/>
      <c r="T154" s="206">
        <v>22331095.5</v>
      </c>
      <c r="U154" s="202"/>
    </row>
    <row r="155" spans="1:21" x14ac:dyDescent="0.3">
      <c r="B155" s="11" t="s">
        <v>180</v>
      </c>
      <c r="C155" s="78"/>
      <c r="D155" s="83"/>
      <c r="E155" s="3" t="s">
        <v>8</v>
      </c>
      <c r="F155" s="16">
        <v>2.1566666666666671E-2</v>
      </c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</row>
    <row r="156" spans="1:21" x14ac:dyDescent="0.3">
      <c r="A156" s="19" t="s">
        <v>9</v>
      </c>
      <c r="B156" s="20" t="s">
        <v>10</v>
      </c>
      <c r="C156" s="20"/>
      <c r="D156" s="20"/>
      <c r="E156" s="21"/>
      <c r="F156" s="21"/>
      <c r="G156" s="22" t="s">
        <v>11</v>
      </c>
      <c r="H156" s="23"/>
      <c r="I156" s="24"/>
      <c r="J156" s="20" t="s">
        <v>12</v>
      </c>
      <c r="K156" s="20"/>
      <c r="L156" s="20"/>
      <c r="M156" s="20" t="s">
        <v>13</v>
      </c>
      <c r="N156" s="20"/>
      <c r="O156" s="20"/>
      <c r="P156" s="127"/>
      <c r="Q156" s="127" t="s">
        <v>137</v>
      </c>
      <c r="R156" s="128" t="s">
        <v>138</v>
      </c>
      <c r="S156" s="22" t="s">
        <v>116</v>
      </c>
      <c r="T156" s="23"/>
      <c r="U156" s="24"/>
    </row>
    <row r="157" spans="1:21" x14ac:dyDescent="0.3">
      <c r="A157" s="25" t="s">
        <v>16</v>
      </c>
      <c r="B157" s="26" t="s">
        <v>17</v>
      </c>
      <c r="C157" s="27" t="s">
        <v>18</v>
      </c>
      <c r="D157" s="28" t="s">
        <v>97</v>
      </c>
      <c r="E157" s="26" t="s">
        <v>20</v>
      </c>
      <c r="F157" s="29" t="s">
        <v>21</v>
      </c>
      <c r="G157" s="29" t="s">
        <v>22</v>
      </c>
      <c r="H157" s="30" t="s">
        <v>5</v>
      </c>
      <c r="I157" s="31" t="s">
        <v>23</v>
      </c>
      <c r="J157" s="32" t="s">
        <v>24</v>
      </c>
      <c r="K157" s="29" t="s">
        <v>25</v>
      </c>
      <c r="L157" s="33" t="s">
        <v>26</v>
      </c>
      <c r="M157" s="26" t="s">
        <v>27</v>
      </c>
      <c r="N157" s="29" t="s">
        <v>28</v>
      </c>
      <c r="O157" s="33" t="s">
        <v>29</v>
      </c>
      <c r="P157" s="26" t="s">
        <v>30</v>
      </c>
      <c r="Q157" s="29" t="s">
        <v>2</v>
      </c>
      <c r="R157" s="146" t="s">
        <v>69</v>
      </c>
      <c r="S157" s="26" t="s">
        <v>30</v>
      </c>
      <c r="T157" s="29" t="s">
        <v>71</v>
      </c>
      <c r="U157" s="146"/>
    </row>
    <row r="158" spans="1:21" ht="17.25" x14ac:dyDescent="0.3">
      <c r="A158" s="35" t="s">
        <v>140</v>
      </c>
      <c r="B158" s="35" t="s">
        <v>181</v>
      </c>
      <c r="C158" s="36" t="s">
        <v>100</v>
      </c>
      <c r="D158" s="37">
        <v>300</v>
      </c>
      <c r="E158" s="38">
        <v>46099</v>
      </c>
      <c r="F158" s="39">
        <v>46098</v>
      </c>
      <c r="G158" s="40">
        <v>371181025.80821896</v>
      </c>
      <c r="H158" s="41">
        <v>0</v>
      </c>
      <c r="I158" s="42">
        <v>153821917.80821899</v>
      </c>
      <c r="J158" s="43">
        <v>570341093.5</v>
      </c>
      <c r="K158" s="40">
        <v>-679718757.5</v>
      </c>
      <c r="L158" s="44">
        <v>-109377664</v>
      </c>
      <c r="M158" s="45">
        <v>263199581.80821899</v>
      </c>
      <c r="N158" s="46">
        <v>107981443.99999997</v>
      </c>
      <c r="O158" s="47">
        <v>3060460.2535839416</v>
      </c>
      <c r="P158" s="48">
        <v>171558905</v>
      </c>
      <c r="Q158" s="119">
        <v>29244397.978690997</v>
      </c>
      <c r="R158" s="208">
        <v>-10314774.5</v>
      </c>
      <c r="S158" s="48">
        <v>0</v>
      </c>
      <c r="T158" s="119">
        <v>860480</v>
      </c>
      <c r="U158" s="208"/>
    </row>
    <row r="159" spans="1:21" ht="17.25" x14ac:dyDescent="0.3">
      <c r="A159" s="62" t="s">
        <v>149</v>
      </c>
      <c r="B159" s="62" t="s">
        <v>182</v>
      </c>
      <c r="C159" s="63" t="s">
        <v>100</v>
      </c>
      <c r="D159" s="99">
        <v>150</v>
      </c>
      <c r="E159" s="65">
        <v>46267</v>
      </c>
      <c r="F159" s="66">
        <v>46080</v>
      </c>
      <c r="G159" s="193">
        <v>805989042.80821884</v>
      </c>
      <c r="H159" s="193">
        <v>0</v>
      </c>
      <c r="I159" s="194">
        <v>477821917.80821884</v>
      </c>
      <c r="J159" s="195">
        <v>275379348.5</v>
      </c>
      <c r="K159" s="193">
        <v>-426644145.5</v>
      </c>
      <c r="L159" s="196">
        <v>-151264797</v>
      </c>
      <c r="M159" s="197">
        <v>629086714.80821884</v>
      </c>
      <c r="N159" s="198">
        <v>176902328</v>
      </c>
      <c r="O159" s="199">
        <v>2476719.3496386567</v>
      </c>
      <c r="P159" s="200"/>
      <c r="Q159" s="204">
        <v>69898523.867579877</v>
      </c>
      <c r="R159" s="205">
        <v>2995500.5</v>
      </c>
      <c r="S159" s="200">
        <v>0</v>
      </c>
      <c r="T159" s="204">
        <v>-642755</v>
      </c>
      <c r="U159" s="205"/>
    </row>
    <row r="160" spans="1:21" ht="17.25" x14ac:dyDescent="0.3">
      <c r="A160" s="78"/>
      <c r="B160" s="78"/>
      <c r="C160" s="78"/>
      <c r="D160" s="209">
        <v>450</v>
      </c>
      <c r="E160" s="80"/>
      <c r="F160" s="9"/>
      <c r="G160" s="90">
        <v>1177170068.6164379</v>
      </c>
      <c r="H160" s="90">
        <v>0</v>
      </c>
      <c r="I160" s="91">
        <v>631643835.61643779</v>
      </c>
      <c r="J160" s="91">
        <v>845720442</v>
      </c>
      <c r="K160" s="90">
        <v>-1106362903</v>
      </c>
      <c r="L160" s="90">
        <v>-260642461</v>
      </c>
      <c r="M160" s="90">
        <v>892286296.61643779</v>
      </c>
      <c r="N160" s="90">
        <v>284883772</v>
      </c>
      <c r="O160" s="90">
        <v>5537179.6032225983</v>
      </c>
      <c r="P160" s="90"/>
      <c r="Q160" s="90">
        <v>99142921.846270874</v>
      </c>
      <c r="R160" s="210">
        <v>-7319274</v>
      </c>
      <c r="S160" s="90"/>
      <c r="T160" s="90">
        <v>217725</v>
      </c>
      <c r="U160" s="210"/>
    </row>
    <row r="161" spans="1:21" x14ac:dyDescent="0.3">
      <c r="B161" s="11"/>
      <c r="D161" s="83">
        <v>0</v>
      </c>
      <c r="E161" s="80"/>
      <c r="G161" s="83">
        <v>6.2059230457525573E-2</v>
      </c>
      <c r="H161" s="83">
        <v>0</v>
      </c>
      <c r="I161" s="83">
        <v>0.12047423879284935</v>
      </c>
      <c r="J161" s="83">
        <v>5.7509120721545876E-2</v>
      </c>
      <c r="K161" s="83">
        <v>-5.6246393365332027E-2</v>
      </c>
      <c r="L161" s="83">
        <v>-0.61721167402261068</v>
      </c>
      <c r="M161" s="83">
        <v>-7.0963675463422124E-2</v>
      </c>
      <c r="N161" s="83">
        <v>0.36611545084966596</v>
      </c>
      <c r="O161" s="83">
        <v>29.395396966190898</v>
      </c>
      <c r="P161" s="83"/>
      <c r="Q161" s="83">
        <v>1.194920710187765</v>
      </c>
      <c r="R161" s="83">
        <v>-2.9208629340321624</v>
      </c>
      <c r="S161" s="83"/>
      <c r="T161" s="83"/>
      <c r="U161" s="83"/>
    </row>
    <row r="162" spans="1:21" x14ac:dyDescent="0.3">
      <c r="B162" s="11" t="s">
        <v>183</v>
      </c>
      <c r="E162" s="3" t="s">
        <v>8</v>
      </c>
      <c r="F162" s="16">
        <v>0</v>
      </c>
    </row>
    <row r="163" spans="1:21" x14ac:dyDescent="0.3">
      <c r="A163" s="19" t="s">
        <v>184</v>
      </c>
      <c r="B163" s="20" t="s">
        <v>10</v>
      </c>
      <c r="C163" s="20"/>
      <c r="D163" s="20"/>
      <c r="E163" s="21"/>
      <c r="F163" s="21"/>
      <c r="G163" s="22" t="s">
        <v>11</v>
      </c>
      <c r="H163" s="23"/>
      <c r="I163" s="24"/>
      <c r="J163" s="20" t="s">
        <v>12</v>
      </c>
      <c r="K163" s="20"/>
      <c r="L163" s="20"/>
      <c r="M163" s="20" t="s">
        <v>13</v>
      </c>
      <c r="N163" s="20"/>
      <c r="O163" s="20"/>
      <c r="P163" s="127"/>
      <c r="Q163" s="127" t="s">
        <v>137</v>
      </c>
      <c r="R163" s="128" t="s">
        <v>138</v>
      </c>
      <c r="S163" s="22" t="s">
        <v>116</v>
      </c>
      <c r="T163" s="23"/>
      <c r="U163" s="24"/>
    </row>
    <row r="164" spans="1:21" x14ac:dyDescent="0.3">
      <c r="A164" s="25" t="s">
        <v>185</v>
      </c>
      <c r="B164" s="26" t="s">
        <v>17</v>
      </c>
      <c r="C164" s="27" t="s">
        <v>18</v>
      </c>
      <c r="D164" s="28" t="s">
        <v>97</v>
      </c>
      <c r="E164" s="26" t="s">
        <v>20</v>
      </c>
      <c r="F164" s="29" t="s">
        <v>21</v>
      </c>
      <c r="G164" s="29" t="s">
        <v>22</v>
      </c>
      <c r="H164" s="30" t="s">
        <v>5</v>
      </c>
      <c r="I164" s="31" t="s">
        <v>23</v>
      </c>
      <c r="J164" s="32" t="s">
        <v>24</v>
      </c>
      <c r="K164" s="29" t="s">
        <v>25</v>
      </c>
      <c r="L164" s="33" t="s">
        <v>26</v>
      </c>
      <c r="M164" s="26" t="s">
        <v>27</v>
      </c>
      <c r="N164" s="29" t="s">
        <v>28</v>
      </c>
      <c r="O164" s="33" t="s">
        <v>29</v>
      </c>
      <c r="P164" s="26" t="s">
        <v>30</v>
      </c>
      <c r="Q164" s="29" t="s">
        <v>2</v>
      </c>
      <c r="R164" s="146" t="s">
        <v>69</v>
      </c>
      <c r="S164" s="26" t="s">
        <v>30</v>
      </c>
      <c r="T164" s="29" t="s">
        <v>71</v>
      </c>
      <c r="U164" s="146"/>
    </row>
    <row r="165" spans="1:21" ht="17.25" x14ac:dyDescent="0.3">
      <c r="D165" s="79"/>
      <c r="G165" s="81"/>
      <c r="H165" s="81"/>
      <c r="I165" s="82"/>
      <c r="J165" s="82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x14ac:dyDescent="0.3">
      <c r="D166" s="83"/>
      <c r="E166" s="80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</row>
    <row r="169" spans="1:21" x14ac:dyDescent="0.3">
      <c r="P169" s="211" t="s">
        <v>186</v>
      </c>
      <c r="Q169" s="211"/>
      <c r="R169" s="211"/>
      <c r="S169" s="211" t="s">
        <v>187</v>
      </c>
      <c r="T169" s="211"/>
      <c r="U169" s="211"/>
    </row>
    <row r="170" spans="1:21" x14ac:dyDescent="0.3"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S170" s="17"/>
      <c r="T170" s="17"/>
      <c r="U170" s="17"/>
    </row>
    <row r="171" spans="1:21" x14ac:dyDescent="0.3">
      <c r="E171" s="213"/>
      <c r="F171" s="18"/>
      <c r="G171" s="18"/>
      <c r="H171" s="18"/>
      <c r="I171" s="214"/>
      <c r="J171" s="18"/>
      <c r="K171" s="18"/>
      <c r="L171" s="18"/>
      <c r="M171" s="18"/>
      <c r="N171" s="18"/>
      <c r="O171" s="17"/>
      <c r="P171" s="215"/>
      <c r="Q171" s="17"/>
      <c r="R171" s="17"/>
      <c r="S171" s="215"/>
      <c r="T171" s="215"/>
      <c r="U171" s="215"/>
    </row>
    <row r="172" spans="1:21" x14ac:dyDescent="0.3">
      <c r="E172" s="213"/>
      <c r="F172" s="18"/>
      <c r="G172" s="18"/>
      <c r="H172" s="18"/>
      <c r="I172" s="214"/>
      <c r="J172" s="18"/>
      <c r="K172" s="18"/>
      <c r="L172" s="18"/>
      <c r="M172" s="18"/>
      <c r="N172" s="18"/>
      <c r="O172" s="17"/>
      <c r="P172" s="215"/>
      <c r="Q172" s="17"/>
      <c r="R172" s="17"/>
      <c r="S172" s="215"/>
      <c r="T172" s="215"/>
      <c r="U172" s="215"/>
    </row>
    <row r="173" spans="1:21" x14ac:dyDescent="0.3">
      <c r="E173" s="213"/>
      <c r="F173" s="18"/>
      <c r="G173" s="18"/>
      <c r="H173" s="18"/>
      <c r="I173" s="214"/>
      <c r="J173" s="18"/>
      <c r="K173" s="18"/>
      <c r="L173" s="18"/>
      <c r="M173" s="18"/>
      <c r="N173" s="18"/>
      <c r="O173" s="17"/>
      <c r="P173" s="215"/>
      <c r="Q173" s="17"/>
      <c r="R173" s="17"/>
      <c r="S173" s="215"/>
      <c r="T173" s="215"/>
      <c r="U173" s="215"/>
    </row>
    <row r="174" spans="1:21" x14ac:dyDescent="0.3">
      <c r="E174" s="213"/>
      <c r="F174" s="18"/>
      <c r="G174" s="18"/>
      <c r="H174" s="18"/>
      <c r="I174" s="214"/>
      <c r="J174" s="18"/>
      <c r="K174" s="18"/>
      <c r="L174" s="18"/>
      <c r="M174" s="18"/>
      <c r="N174" s="18"/>
      <c r="O174" s="17"/>
      <c r="P174" s="215"/>
      <c r="Q174" s="17"/>
      <c r="R174" s="17"/>
      <c r="S174" s="215"/>
      <c r="T174" s="215"/>
      <c r="U174" s="215"/>
    </row>
    <row r="175" spans="1:21" x14ac:dyDescent="0.3">
      <c r="E175" s="213"/>
      <c r="F175" s="18"/>
      <c r="G175" s="18"/>
      <c r="H175" s="18"/>
      <c r="I175" s="214"/>
      <c r="J175" s="18"/>
      <c r="K175" s="18"/>
      <c r="L175" s="18"/>
      <c r="M175" s="18"/>
      <c r="N175" s="18"/>
      <c r="O175" s="17"/>
      <c r="P175" s="215"/>
      <c r="Q175" s="17"/>
      <c r="R175" s="17"/>
      <c r="S175" s="215"/>
      <c r="T175" s="215"/>
      <c r="U175" s="215"/>
    </row>
    <row r="176" spans="1:21" x14ac:dyDescent="0.3">
      <c r="E176" s="213"/>
      <c r="F176" s="18"/>
      <c r="G176" s="18"/>
      <c r="H176" s="18"/>
      <c r="I176" s="214"/>
      <c r="J176" s="18"/>
      <c r="K176" s="18"/>
      <c r="L176" s="18"/>
      <c r="M176" s="18"/>
      <c r="N176" s="18"/>
      <c r="O176" s="17"/>
      <c r="P176" s="215"/>
      <c r="Q176" s="17"/>
      <c r="R176" s="17"/>
      <c r="S176" s="215"/>
      <c r="T176" s="215"/>
      <c r="U176" s="215"/>
    </row>
    <row r="177" spans="5:21" x14ac:dyDescent="0.3">
      <c r="E177" s="213"/>
      <c r="F177" s="18"/>
      <c r="G177" s="18"/>
      <c r="H177" s="18"/>
      <c r="I177" s="214"/>
      <c r="J177" s="18"/>
      <c r="K177" s="18"/>
      <c r="L177" s="18"/>
      <c r="M177" s="18"/>
      <c r="N177" s="18"/>
      <c r="O177" s="17"/>
      <c r="P177" s="215"/>
      <c r="Q177" s="17"/>
      <c r="R177" s="17"/>
      <c r="S177" s="215"/>
      <c r="T177" s="215"/>
      <c r="U177" s="215"/>
    </row>
    <row r="178" spans="5:21" x14ac:dyDescent="0.3">
      <c r="E178" s="213"/>
      <c r="F178" s="18"/>
      <c r="G178" s="18"/>
      <c r="H178" s="18"/>
      <c r="I178" s="214"/>
      <c r="J178" s="18"/>
      <c r="K178" s="18"/>
      <c r="L178" s="18"/>
      <c r="M178" s="18"/>
      <c r="N178" s="18"/>
      <c r="O178" s="17"/>
      <c r="P178" s="215"/>
      <c r="Q178" s="17"/>
      <c r="R178" s="17"/>
      <c r="S178" s="215"/>
      <c r="T178" s="215"/>
      <c r="U178" s="215"/>
    </row>
    <row r="179" spans="5:21" x14ac:dyDescent="0.3">
      <c r="E179" s="213"/>
      <c r="F179" s="18"/>
      <c r="G179" s="18"/>
      <c r="H179" s="18"/>
      <c r="I179" s="214"/>
      <c r="J179" s="18"/>
      <c r="K179" s="18"/>
      <c r="L179" s="18"/>
      <c r="M179" s="18"/>
      <c r="N179" s="18"/>
      <c r="O179" s="17"/>
      <c r="P179" s="215"/>
      <c r="Q179" s="17"/>
      <c r="R179" s="17"/>
      <c r="S179" s="215"/>
      <c r="T179" s="215"/>
      <c r="U179" s="215"/>
    </row>
    <row r="180" spans="5:21" x14ac:dyDescent="0.3">
      <c r="E180" s="213"/>
      <c r="F180" s="18"/>
      <c r="G180" s="18"/>
      <c r="H180" s="18"/>
      <c r="I180" s="214"/>
      <c r="J180" s="18"/>
      <c r="K180" s="18"/>
      <c r="L180" s="18"/>
      <c r="M180" s="18"/>
      <c r="N180" s="18"/>
      <c r="O180" s="17"/>
      <c r="P180" s="215"/>
      <c r="Q180" s="17"/>
      <c r="R180" s="17"/>
      <c r="S180" s="215"/>
      <c r="T180" s="215"/>
      <c r="U180" s="215"/>
    </row>
    <row r="181" spans="5:21" x14ac:dyDescent="0.3">
      <c r="E181" s="213"/>
      <c r="F181" s="18"/>
      <c r="G181" s="18"/>
      <c r="H181" s="18"/>
      <c r="I181" s="214"/>
      <c r="J181" s="18"/>
      <c r="K181" s="18"/>
      <c r="L181" s="18"/>
      <c r="M181" s="18"/>
      <c r="N181" s="18"/>
      <c r="O181" s="17"/>
      <c r="P181" s="215"/>
      <c r="Q181" s="17"/>
      <c r="R181" s="17"/>
      <c r="S181" s="215"/>
      <c r="T181" s="215"/>
      <c r="U181" s="215"/>
    </row>
    <row r="182" spans="5:21" x14ac:dyDescent="0.3">
      <c r="E182" s="213"/>
      <c r="F182" s="18"/>
      <c r="G182" s="18"/>
      <c r="H182" s="18"/>
      <c r="I182" s="214"/>
      <c r="J182" s="18"/>
      <c r="K182" s="18"/>
      <c r="L182" s="18"/>
      <c r="M182" s="18"/>
      <c r="N182" s="18"/>
      <c r="O182" s="17"/>
      <c r="P182" s="215"/>
      <c r="Q182" s="17"/>
      <c r="R182" s="17"/>
      <c r="S182" s="215"/>
      <c r="T182" s="215"/>
      <c r="U182" s="215"/>
    </row>
    <row r="183" spans="5:21" x14ac:dyDescent="0.3">
      <c r="E183" s="213"/>
      <c r="F183" s="18"/>
      <c r="G183" s="18"/>
      <c r="H183" s="18"/>
      <c r="I183" s="214"/>
      <c r="J183" s="18"/>
      <c r="K183" s="18"/>
      <c r="L183" s="18"/>
      <c r="M183" s="18"/>
      <c r="N183" s="18"/>
      <c r="O183" s="17"/>
      <c r="P183" s="215"/>
      <c r="Q183" s="17"/>
      <c r="R183" s="17"/>
      <c r="S183" s="215"/>
      <c r="T183" s="215"/>
      <c r="U183" s="215"/>
    </row>
    <row r="184" spans="5:21" x14ac:dyDescent="0.3">
      <c r="E184" s="213"/>
      <c r="F184" s="18"/>
      <c r="G184" s="18"/>
      <c r="H184" s="18"/>
      <c r="I184" s="214"/>
      <c r="J184" s="18"/>
      <c r="K184" s="18"/>
      <c r="L184" s="18"/>
      <c r="M184" s="18"/>
      <c r="N184" s="18"/>
      <c r="O184" s="17"/>
      <c r="P184" s="215"/>
      <c r="Q184" s="17"/>
      <c r="R184" s="17"/>
      <c r="S184" s="215"/>
      <c r="T184" s="215"/>
      <c r="U184" s="215"/>
    </row>
    <row r="185" spans="5:21" x14ac:dyDescent="0.3">
      <c r="E185" s="213"/>
      <c r="F185" s="18"/>
      <c r="G185" s="18"/>
      <c r="H185" s="18"/>
      <c r="I185" s="214"/>
      <c r="J185" s="18"/>
      <c r="K185" s="18"/>
      <c r="L185" s="18"/>
      <c r="M185" s="18"/>
      <c r="N185" s="18"/>
      <c r="O185" s="17"/>
      <c r="P185" s="215"/>
      <c r="Q185" s="17"/>
      <c r="R185" s="17"/>
      <c r="S185" s="215"/>
      <c r="T185" s="215"/>
      <c r="U185" s="215"/>
    </row>
    <row r="186" spans="5:21" x14ac:dyDescent="0.3">
      <c r="E186" s="213"/>
      <c r="F186" s="18"/>
      <c r="G186" s="18"/>
      <c r="H186" s="18"/>
      <c r="I186" s="214"/>
      <c r="J186" s="18"/>
      <c r="K186" s="18"/>
      <c r="L186" s="18"/>
      <c r="M186" s="18"/>
      <c r="N186" s="18"/>
      <c r="O186" s="17"/>
      <c r="P186" s="215"/>
      <c r="Q186" s="17"/>
      <c r="R186" s="17"/>
      <c r="S186" s="215"/>
      <c r="T186" s="215"/>
      <c r="U186" s="215"/>
    </row>
    <row r="187" spans="5:21" x14ac:dyDescent="0.3">
      <c r="E187" s="213"/>
      <c r="F187" s="18"/>
      <c r="G187" s="18"/>
      <c r="H187" s="18"/>
      <c r="I187" s="214"/>
      <c r="J187" s="18"/>
      <c r="K187" s="18"/>
      <c r="L187" s="18"/>
      <c r="M187" s="18"/>
      <c r="N187" s="18"/>
      <c r="O187" s="17"/>
      <c r="P187" s="215"/>
      <c r="Q187" s="17"/>
      <c r="R187" s="17"/>
      <c r="S187" s="215"/>
      <c r="T187" s="215"/>
      <c r="U187" s="215"/>
    </row>
    <row r="188" spans="5:21" x14ac:dyDescent="0.3">
      <c r="E188" s="213"/>
      <c r="F188" s="18"/>
      <c r="G188" s="18"/>
      <c r="H188" s="18"/>
      <c r="I188" s="214"/>
      <c r="J188" s="18"/>
      <c r="K188" s="18"/>
      <c r="L188" s="18"/>
      <c r="M188" s="18"/>
      <c r="N188" s="18"/>
      <c r="O188" s="17"/>
      <c r="P188" s="215"/>
      <c r="Q188" s="17"/>
      <c r="R188" s="17"/>
      <c r="S188" s="215"/>
      <c r="T188" s="215"/>
      <c r="U188" s="215"/>
    </row>
    <row r="189" spans="5:21" x14ac:dyDescent="0.3">
      <c r="E189" s="213"/>
      <c r="F189" s="18"/>
      <c r="G189" s="18"/>
      <c r="H189" s="18"/>
      <c r="I189" s="214"/>
      <c r="J189" s="18"/>
      <c r="K189" s="18"/>
      <c r="L189" s="18"/>
      <c r="M189" s="18"/>
      <c r="N189" s="18"/>
      <c r="O189" s="17"/>
      <c r="P189" s="215"/>
      <c r="Q189" s="17"/>
      <c r="R189" s="17"/>
      <c r="S189" s="215"/>
      <c r="T189" s="215"/>
      <c r="U189" s="215"/>
    </row>
    <row r="190" spans="5:21" x14ac:dyDescent="0.3">
      <c r="E190" s="213"/>
      <c r="F190" s="18"/>
      <c r="G190" s="18"/>
      <c r="H190" s="18"/>
      <c r="I190" s="214"/>
      <c r="J190" s="18"/>
      <c r="K190" s="18"/>
      <c r="L190" s="18"/>
      <c r="M190" s="18"/>
      <c r="N190" s="18"/>
      <c r="O190" s="17"/>
      <c r="P190" s="215"/>
      <c r="Q190" s="17"/>
      <c r="R190" s="17"/>
      <c r="S190" s="215"/>
      <c r="T190" s="215"/>
      <c r="U190" s="215"/>
    </row>
    <row r="191" spans="5:21" x14ac:dyDescent="0.3">
      <c r="E191" s="213"/>
      <c r="F191" s="18"/>
      <c r="G191" s="18"/>
      <c r="H191" s="18"/>
      <c r="I191" s="214"/>
      <c r="J191" s="18"/>
      <c r="K191" s="18"/>
      <c r="L191" s="18"/>
      <c r="M191" s="18"/>
      <c r="N191" s="18"/>
      <c r="O191" s="17"/>
      <c r="P191" s="215"/>
      <c r="Q191" s="17"/>
      <c r="R191" s="17"/>
      <c r="S191" s="215"/>
      <c r="T191" s="215"/>
      <c r="U191" s="215"/>
    </row>
    <row r="192" spans="5:21" x14ac:dyDescent="0.3">
      <c r="E192" s="213"/>
      <c r="F192" s="18"/>
      <c r="G192" s="18"/>
      <c r="H192" s="18"/>
      <c r="I192" s="214"/>
      <c r="J192" s="18"/>
      <c r="K192" s="18"/>
      <c r="L192" s="18"/>
      <c r="M192" s="18"/>
      <c r="N192" s="18"/>
      <c r="O192" s="17"/>
      <c r="P192" s="215"/>
      <c r="Q192" s="17"/>
      <c r="R192" s="17"/>
      <c r="S192" s="215"/>
      <c r="T192" s="215"/>
      <c r="U192" s="215"/>
    </row>
    <row r="193" spans="5:21" x14ac:dyDescent="0.3">
      <c r="E193" s="213"/>
      <c r="F193" s="18"/>
      <c r="G193" s="18"/>
      <c r="H193" s="18"/>
      <c r="I193" s="214"/>
      <c r="J193" s="18"/>
      <c r="K193" s="18"/>
      <c r="L193" s="18"/>
      <c r="M193" s="18"/>
      <c r="N193" s="18"/>
      <c r="O193" s="17"/>
      <c r="P193" s="215"/>
      <c r="Q193" s="17"/>
      <c r="R193" s="17"/>
      <c r="S193" s="215"/>
      <c r="T193" s="215"/>
      <c r="U193" s="215"/>
    </row>
    <row r="194" spans="5:21" x14ac:dyDescent="0.3">
      <c r="E194" s="213"/>
      <c r="F194" s="18"/>
      <c r="G194" s="18"/>
      <c r="H194" s="18"/>
      <c r="I194" s="214"/>
      <c r="J194" s="18"/>
      <c r="K194" s="216"/>
      <c r="L194" s="18"/>
      <c r="M194" s="18"/>
      <c r="N194" s="18"/>
      <c r="O194" s="17"/>
      <c r="P194" s="215"/>
      <c r="Q194" s="17"/>
      <c r="R194" s="17"/>
      <c r="S194" s="215"/>
      <c r="T194" s="215"/>
      <c r="U194" s="215"/>
    </row>
    <row r="195" spans="5:21" x14ac:dyDescent="0.3">
      <c r="E195" s="213"/>
      <c r="F195" s="18"/>
      <c r="G195" s="18"/>
      <c r="H195" s="18"/>
      <c r="I195" s="214"/>
      <c r="J195" s="18"/>
      <c r="K195" s="216"/>
      <c r="L195" s="18"/>
      <c r="M195" s="18"/>
      <c r="N195" s="18"/>
      <c r="O195" s="17"/>
      <c r="P195" s="215"/>
      <c r="Q195" s="17"/>
      <c r="R195" s="17"/>
      <c r="S195" s="215"/>
      <c r="T195" s="215"/>
      <c r="U195" s="215"/>
    </row>
    <row r="196" spans="5:21" x14ac:dyDescent="0.3">
      <c r="E196" s="213"/>
      <c r="F196" s="18"/>
      <c r="G196" s="18"/>
      <c r="H196" s="18"/>
      <c r="I196" s="214"/>
      <c r="J196" s="18"/>
      <c r="K196" s="216"/>
      <c r="L196" s="18"/>
      <c r="M196" s="18"/>
      <c r="N196" s="18"/>
      <c r="O196" s="17"/>
      <c r="P196" s="215"/>
      <c r="Q196" s="17"/>
      <c r="R196" s="17"/>
      <c r="S196" s="215"/>
      <c r="T196" s="215"/>
      <c r="U196" s="215"/>
    </row>
    <row r="197" spans="5:21" x14ac:dyDescent="0.3">
      <c r="E197" s="213"/>
      <c r="F197" s="18"/>
      <c r="G197" s="18"/>
      <c r="H197" s="18"/>
      <c r="I197" s="214"/>
      <c r="J197" s="18"/>
      <c r="K197" s="216"/>
      <c r="L197" s="18"/>
      <c r="M197" s="18"/>
      <c r="N197" s="18"/>
      <c r="O197" s="17"/>
      <c r="P197" s="215"/>
      <c r="Q197" s="17"/>
      <c r="R197" s="17"/>
      <c r="S197" s="215"/>
      <c r="T197" s="215"/>
      <c r="U197" s="215"/>
    </row>
    <row r="198" spans="5:21" x14ac:dyDescent="0.3">
      <c r="E198" s="213"/>
      <c r="F198" s="18"/>
      <c r="G198" s="18"/>
      <c r="H198" s="18"/>
      <c r="I198" s="214"/>
      <c r="J198" s="18"/>
      <c r="K198" s="216"/>
      <c r="L198" s="18"/>
      <c r="M198" s="18"/>
      <c r="N198" s="18"/>
      <c r="O198" s="17"/>
      <c r="P198" s="215"/>
      <c r="Q198" s="17"/>
      <c r="R198" s="17"/>
      <c r="S198" s="215"/>
      <c r="T198" s="215"/>
      <c r="U198" s="215"/>
    </row>
    <row r="199" spans="5:21" x14ac:dyDescent="0.3">
      <c r="E199" s="213"/>
      <c r="F199" s="18"/>
      <c r="G199" s="18"/>
      <c r="H199" s="18"/>
      <c r="I199" s="214"/>
      <c r="J199" s="18"/>
      <c r="K199" s="216"/>
      <c r="L199" s="18"/>
      <c r="M199" s="18"/>
      <c r="N199" s="18"/>
      <c r="O199" s="17"/>
      <c r="P199" s="215"/>
      <c r="Q199" s="17"/>
      <c r="R199" s="17"/>
      <c r="S199" s="215"/>
      <c r="T199" s="215"/>
      <c r="U199" s="215"/>
    </row>
    <row r="200" spans="5:21" x14ac:dyDescent="0.3">
      <c r="E200" s="213"/>
      <c r="F200" s="18"/>
      <c r="G200" s="18"/>
      <c r="H200" s="18"/>
      <c r="I200" s="214"/>
      <c r="J200" s="18"/>
      <c r="K200" s="216"/>
      <c r="L200" s="18"/>
      <c r="M200" s="18"/>
      <c r="N200" s="18"/>
      <c r="O200" s="17"/>
      <c r="P200" s="215"/>
      <c r="Q200" s="17"/>
      <c r="R200" s="17"/>
      <c r="S200" s="215"/>
      <c r="T200" s="215"/>
      <c r="U200" s="215"/>
    </row>
    <row r="201" spans="5:21" x14ac:dyDescent="0.3">
      <c r="E201" s="213"/>
      <c r="F201" s="18"/>
      <c r="G201" s="18"/>
      <c r="H201" s="18"/>
      <c r="I201" s="214"/>
      <c r="J201" s="18"/>
      <c r="K201" s="18"/>
      <c r="L201" s="18"/>
      <c r="M201" s="18"/>
      <c r="N201" s="18"/>
      <c r="O201" s="17"/>
    </row>
  </sheetData>
  <mergeCells count="63">
    <mergeCell ref="P169:R169"/>
    <mergeCell ref="S169:U169"/>
    <mergeCell ref="B156:D156"/>
    <mergeCell ref="G156:I156"/>
    <mergeCell ref="J156:L156"/>
    <mergeCell ref="M156:O156"/>
    <mergeCell ref="S156:U156"/>
    <mergeCell ref="B163:D163"/>
    <mergeCell ref="G163:I163"/>
    <mergeCell ref="J163:L163"/>
    <mergeCell ref="M163:O163"/>
    <mergeCell ref="S163:U163"/>
    <mergeCell ref="B139:D139"/>
    <mergeCell ref="G139:I139"/>
    <mergeCell ref="J139:L139"/>
    <mergeCell ref="M139:O139"/>
    <mergeCell ref="S139:U139"/>
    <mergeCell ref="B149:D149"/>
    <mergeCell ref="G149:I149"/>
    <mergeCell ref="J149:L149"/>
    <mergeCell ref="M149:O149"/>
    <mergeCell ref="S149:U149"/>
    <mergeCell ref="B112:D112"/>
    <mergeCell ref="G112:I112"/>
    <mergeCell ref="J112:L112"/>
    <mergeCell ref="M112:O112"/>
    <mergeCell ref="S112:U112"/>
    <mergeCell ref="B117:D117"/>
    <mergeCell ref="G117:I117"/>
    <mergeCell ref="J117:L117"/>
    <mergeCell ref="M117:O117"/>
    <mergeCell ref="S117:U117"/>
    <mergeCell ref="B89:D89"/>
    <mergeCell ref="G89:I89"/>
    <mergeCell ref="J89:L89"/>
    <mergeCell ref="M89:O89"/>
    <mergeCell ref="P89:R89"/>
    <mergeCell ref="S89:U89"/>
    <mergeCell ref="B72:D72"/>
    <mergeCell ref="G72:I72"/>
    <mergeCell ref="J72:L72"/>
    <mergeCell ref="M72:O72"/>
    <mergeCell ref="P72:R72"/>
    <mergeCell ref="S72:U72"/>
    <mergeCell ref="B66:D66"/>
    <mergeCell ref="G66:I66"/>
    <mergeCell ref="J66:L66"/>
    <mergeCell ref="M66:O66"/>
    <mergeCell ref="P66:R66"/>
    <mergeCell ref="S66:U66"/>
    <mergeCell ref="S6:U6"/>
    <mergeCell ref="B42:D42"/>
    <mergeCell ref="G42:I42"/>
    <mergeCell ref="J42:L42"/>
    <mergeCell ref="M42:O42"/>
    <mergeCell ref="P42:R42"/>
    <mergeCell ref="S42:U42"/>
    <mergeCell ref="A1:R1"/>
    <mergeCell ref="B6:D6"/>
    <mergeCell ref="G6:I6"/>
    <mergeCell ref="J6:L6"/>
    <mergeCell ref="M6:O6"/>
    <mergeCell ref="P6:R6"/>
  </mergeCells>
  <phoneticPr fontId="3" type="noConversion"/>
  <conditionalFormatting sqref="A135">
    <cfRule type="expression" dxfId="7" priority="1">
      <formula>#REF!="CRS"</formula>
    </cfRule>
    <cfRule type="expression" dxfId="6" priority="2">
      <formula>#REF!="CPN"</formula>
    </cfRule>
    <cfRule type="expression" dxfId="5" priority="3">
      <formula>#REF!="IRS"</formula>
    </cfRule>
    <cfRule type="expression" dxfId="4" priority="4">
      <formula>#REF!="CDS"</formula>
    </cfRule>
    <cfRule type="expression" dxfId="3" priority="5">
      <formula>#REF!="CRS"</formula>
    </cfRule>
    <cfRule type="expression" dxfId="2" priority="6">
      <formula>#REF!="CPN"</formula>
    </cfRule>
    <cfRule type="expression" dxfId="1" priority="7">
      <formula>#REF!="IRS"</formula>
    </cfRule>
    <cfRule type="expression" dxfId="0" priority="8">
      <formula>#REF!="CDS"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내역1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Gunwoo Park</dc:creator>
  <cp:lastModifiedBy>Gunwoo Park</cp:lastModifiedBy>
  <dcterms:created xsi:type="dcterms:W3CDTF">2025-12-24T06:07:24Z</dcterms:created>
  <dcterms:modified xsi:type="dcterms:W3CDTF">2025-12-24T06:09:08Z</dcterms:modified>
</cp:coreProperties>
</file>